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dce1c562175e0a79/Desktop/"/>
    </mc:Choice>
  </mc:AlternateContent>
  <xr:revisionPtr revIDLastSave="0" documentId="8_{D0013A53-193B-4BE2-B898-FFF029A82F2B}" xr6:coauthVersionLast="47" xr6:coauthVersionMax="47" xr10:uidLastSave="{00000000-0000-0000-0000-000000000000}"/>
  <bookViews>
    <workbookView xWindow="10785" yWindow="1095" windowWidth="21600" windowHeight="11295" xr2:uid="{1D00F9A1-501A-4244-95B5-211D470D3101}"/>
  </bookViews>
  <sheets>
    <sheet name="Sheet3" sheetId="4" r:id="rId1"/>
    <sheet name="tips" sheetId="3" r:id="rId2"/>
  </sheets>
  <definedNames>
    <definedName name="ExternalData_1" localSheetId="1" hidden="1">tips!$A$1:$G$245</definedName>
    <definedName name="Slicer_time">#N/A</definedName>
  </definedNames>
  <calcPr calcId="191029"/>
  <pivotCaches>
    <pivotCache cacheId="11"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2" i="3" l="1" a="1"/>
  <c r="M12" i="3" s="1"/>
  <c r="L7" i="3"/>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I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C814E04-6092-4150-83C1-5286E7E8831F}" keepAlive="1" name="Query - tips" description="Connection to the 'tips' query in the workbook." type="5" refreshedVersion="8" background="1" saveData="1">
    <dbPr connection="Provider=Microsoft.Mashup.OleDb.1;Data Source=$Workbook$;Location=tips;Extended Properties=&quot;&quot;" command="SELECT * FROM [tips]"/>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<sst xmlns="http://schemas.openxmlformats.org/spreadsheetml/2006/main" count="1008" uniqueCount="26">
  <si>
    <t>total_bill</t>
  </si>
  <si>
    <t>tip</t>
  </si>
  <si>
    <t>sex</t>
  </si>
  <si>
    <t>smoker</t>
  </si>
  <si>
    <t>day</t>
  </si>
  <si>
    <t>time</t>
  </si>
  <si>
    <t>Female</t>
  </si>
  <si>
    <t>No</t>
  </si>
  <si>
    <t>Sun</t>
  </si>
  <si>
    <t>Dinner</t>
  </si>
  <si>
    <t>Male</t>
  </si>
  <si>
    <t>Sat</t>
  </si>
  <si>
    <t>Yes</t>
  </si>
  <si>
    <t>Thur</t>
  </si>
  <si>
    <t>Lunch</t>
  </si>
  <si>
    <t>Fri</t>
  </si>
  <si>
    <t xml:space="preserve">Tip Percentage </t>
  </si>
  <si>
    <t>Customers</t>
  </si>
  <si>
    <t>Bill per Person</t>
  </si>
  <si>
    <t>Tip per Person</t>
  </si>
  <si>
    <t>Row Labels</t>
  </si>
  <si>
    <t>Grand Total</t>
  </si>
  <si>
    <t>Sum of tip</t>
  </si>
  <si>
    <t>Average of tip</t>
  </si>
  <si>
    <t>Average of total_bill</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</si>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</sst>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 x14ac:knownFonts="1">
    <font>
      <sz val="11"/>
      <color theme="1"/>
      <name val="Aptos Narrow"/>
      <family val="2"/>
      <scheme val="minor"/>
    </font>
  </fonts>
  <fills count="2">
    <fill>
      <patternFill patternType="none"/>
    </fill>
    <fill>
      <patternFill patternType="gray125"/>
    </fill>
  </fills>
  <borders count="11">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style="thin">
        <color rgb="FF999999"/>
      </left>
      <right/>
      <top/>
      <bottom/>
      <diagonal/>
    </border>
    <border>
      <left style="thin">
        <color rgb="FF999999"/>
      </left>
      <right style="thin">
        <color rgb="FF999999"/>
      </right>
      <top/>
      <bottom/>
      <diagonal/>
    </border>
    <border>
      <left style="thin">
        <color rgb="FF999999"/>
      </left>
      <right/>
      <top/>
      <bottom style="thin">
        <color rgb="FF999999"/>
      </bottom>
      <diagonal/>
    </border>
    <border>
      <left style="thin">
        <color rgb="FF999999"/>
      </left>
      <right style="thin">
        <color rgb="FF999999"/>
      </right>
      <top/>
      <bottom style="thin">
        <color rgb="FF999999"/>
      </bottom>
      <diagonal/>
    </border>
  </borders>
  <cellStyleXfs count="1">
    <xf numFmtId="0" fontId="0" fillId="0" borderId="0"/>
  </cellStyleXfs>
  <cellXfs count="19">
    <xf numFmtId="0" fontId="0" fillId="0" borderId="0" xfId="0"/>
    <xf numFmtId="0" fontId="0" fillId="0" borderId="0" xfId="0" applyNumberFormat="1"/>
    <xf numFmtId="164" fontId="0" fillId="0" borderId="0" xfId="0" applyNumberFormat="1"/>
    <xf numFmtId="10" fontId="0" fillId="0" borderId="0" xfId="0" applyNumberFormat="1"/>
    <xf numFmtId="0" fontId="0" fillId="0" borderId="1" xfId="0" applyBorder="1"/>
    <xf numFmtId="0" fontId="0" fillId="0" borderId="1" xfId="0" pivotButton="1" applyBorder="1"/>
    <xf numFmtId="0" fontId="0" fillId="0" borderId="3" xfId="0" applyBorder="1"/>
    <xf numFmtId="0" fontId="0" fillId="0" borderId="1" xfId="0" applyBorder="1" applyAlignment="1">
      <alignment horizontal="left"/>
    </xf>
    <xf numFmtId="164" fontId="0" fillId="0" borderId="3" xfId="0" applyNumberFormat="1" applyBorder="1"/>
    <xf numFmtId="0" fontId="0" fillId="0" borderId="2" xfId="0" applyBorder="1" applyAlignment="1">
      <alignment horizontal="left"/>
    </xf>
    <xf numFmtId="164" fontId="0" fillId="0" borderId="4" xfId="0" applyNumberFormat="1" applyBorder="1"/>
    <xf numFmtId="0" fontId="0" fillId="0" borderId="6" xfId="0" applyBorder="1" applyAlignment="1">
      <alignment horizontal="left"/>
    </xf>
    <xf numFmtId="164" fontId="0" fillId="0" borderId="5" xfId="0" applyNumberFormat="1" applyBorder="1"/>
    <xf numFmtId="0" fontId="0" fillId="0" borderId="5" xfId="0" pivotButton="1" applyBorder="1"/>
    <xf numFmtId="0" fontId="0" fillId="0" borderId="5" xfId="0" applyBorder="1"/>
    <xf numFmtId="0" fontId="0" fillId="0" borderId="7" xfId="0" applyBorder="1"/>
    <xf numFmtId="164" fontId="0" fillId="0" borderId="8" xfId="0" applyNumberFormat="1" applyBorder="1"/>
    <xf numFmtId="0" fontId="0" fillId="0" borderId="9" xfId="0" applyBorder="1"/>
    <xf numFmtId="164" fontId="0" fillId="0" borderId="10" xfId="0" applyNumberFormat="1" applyBorder="1"/>
  </cellXfs>
  <cellStyles count="1">
    <cellStyle name="Normal" xfId="0" builtinId="0"/>
  </cellStyles>
  <dxfs count="9">
    <dxf>
      <numFmt numFmtId="164" formatCode="&quot;£&quot;#,##0.00"/>
    </dxf>
    <dxf>
      <numFmt numFmtId="164" formatCode="&quot;£&quot;#,##0.00"/>
    </dxf>
    <dxf>
      <numFmt numFmtId="14" formatCode="0.00%"/>
    </dxf>
    <dxf>
      <numFmt numFmtId="164" formatCode="&quot;£&quot;#,##0.00"/>
    </dxf>
    <dxf>
      <numFmt numFmtId="0" formatCode="General"/>
    </dxf>
    <dxf>
      <numFmt numFmtId="164" formatCode="&quot;£&quot;#,##0.00"/>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[Restaurant_Dashboard.xlsx]Sheet3!PivotTable1</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Abadi" panose="020B0604020104020204" pitchFamily="34" charset="0"/>
                <a:ea typeface="+mn-ea"/>
                <a:cs typeface="+mn-cs"/>
              </a:defRPr>
            </a:pPr>
            <a:r>
              <a:rPr lang="en-US">
                <a:solidFill>
                  <a:schemeClr val="tx1"/>
                </a:solidFill>
                <a:latin typeface="Abadi" panose="020B0604020104020204" pitchFamily="34" charset="0"/>
              </a:rPr>
              <a:t>Average</a:t>
            </a:r>
            <a:r>
              <a:rPr lang="en-US" baseline="0">
                <a:solidFill>
                  <a:schemeClr val="tx1"/>
                </a:solidFill>
                <a:latin typeface="Abadi" panose="020B0604020104020204" pitchFamily="34" charset="0"/>
              </a:rPr>
              <a:t> Tip By Day</a:t>
            </a:r>
            <a:endParaRPr lang="en-US">
              <a:solidFill>
                <a:schemeClr val="tx1"/>
              </a:solidFill>
              <a:latin typeface="Abadi" panose="020B0604020104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Abadi" panose="020B0604020104020204" pitchFamily="34" charset="0"/>
              <a:ea typeface="+mn-ea"/>
              <a:cs typeface="+mn-cs"/>
            </a:defRPr>
          </a:pPr>
          <a:endParaRPr lang="en-US"/>
        </a:p>
      </c:txPr>
    </c:title>
    <c:autoTitleDeleted val="0"/>
    <c:pivotFmts>
      <c:pivotFmt>
        <c:idx val="0"/>
        <c:spPr>
          <a:solidFill>
            <a:schemeClr val="accent4">
              <a:lumMod val="20000"/>
              <a:lumOff val="80000"/>
            </a:schemeClr>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4">
                <a:lumMod val="20000"/>
                <a:lumOff val="80000"/>
              </a:schemeClr>
            </a:solidFill>
            <a:ln>
              <a:solidFill>
                <a:sysClr val="windowText" lastClr="000000"/>
              </a:solidFill>
            </a:ln>
            <a:effectLst/>
          </c:spPr>
          <c:invertIfNegative val="0"/>
          <c:cat>
            <c:strRef>
              <c:f>Sheet3!$A$4:$A$8</c:f>
              <c:strCache>
                <c:ptCount val="4"/>
                <c:pt idx="0">
                  <c:v>Fri</c:v>
                </c:pt>
                <c:pt idx="1">
                  <c:v>Sat</c:v>
                </c:pt>
                <c:pt idx="2">
                  <c:v>Sun</c:v>
                </c:pt>
                <c:pt idx="3">
                  <c:v>Thur</c:v>
                </c:pt>
              </c:strCache>
            </c:strRef>
          </c:cat>
          <c:val>
            <c:numRef>
              <c:f>Sheet3!$B$4:$B$8</c:f>
              <c:numCache>
                <c:formatCode>"£"#,##0.00</c:formatCode>
                <c:ptCount val="4"/>
                <c:pt idx="0">
                  <c:v>2.7347368421052631</c:v>
                </c:pt>
                <c:pt idx="1">
                  <c:v>2.9931034482758618</c:v>
                </c:pt>
                <c:pt idx="2">
                  <c:v>3.2551315789473692</c:v>
                </c:pt>
                <c:pt idx="3">
                  <c:v>2.7714516129032258</c:v>
                </c:pt>
              </c:numCache>
            </c:numRef>
          </c:val>
          <c:extLst>
            <c:ext xmlns:c16="http://schemas.microsoft.com/office/drawing/2014/chart" uri="{C3380CC4-5D6E-409C-BE32-E72D297353CC}">
              <c16:uniqueId val="{00000000-789B-474D-BBC0-DFEE3BE11AA6}"/>
            </c:ext>
          </c:extLst>
        </c:ser>
        <c:dLbls>
          <c:showLegendKey val="0"/>
          <c:showVal val="0"/>
          <c:showCatName val="0"/>
          <c:showSerName val="0"/>
          <c:showPercent val="0"/>
          <c:showBubbleSize val="0"/>
        </c:dLbls>
        <c:gapWidth val="219"/>
        <c:overlap val="-27"/>
        <c:axId val="499917200"/>
        <c:axId val="499900880"/>
      </c:barChart>
      <c:catAx>
        <c:axId val="499917200"/>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badi" panose="020B0604020104020204" pitchFamily="34" charset="0"/>
                <a:ea typeface="+mn-ea"/>
                <a:cs typeface="+mn-cs"/>
              </a:defRPr>
            </a:pPr>
            <a:endParaRPr lang="en-US"/>
          </a:p>
        </c:txPr>
        <c:crossAx val="499900880"/>
        <c:crosses val="autoZero"/>
        <c:auto val="1"/>
        <c:lblAlgn val="ctr"/>
        <c:lblOffset val="100"/>
        <c:noMultiLvlLbl val="0"/>
      </c:catAx>
      <c:valAx>
        <c:axId val="499900880"/>
        <c:scaling>
          <c:orientation val="minMax"/>
        </c:scaling>
        <c:delete val="0"/>
        <c:axPos val="l"/>
        <c:majorGridlines>
          <c:spPr>
            <a:ln w="9525" cap="flat" cmpd="sng" algn="ctr">
              <a:solidFill>
                <a:schemeClr val="tx1"/>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badi" panose="020B0604020104020204" pitchFamily="34" charset="0"/>
                <a:ea typeface="+mn-ea"/>
                <a:cs typeface="+mn-cs"/>
              </a:defRPr>
            </a:pPr>
            <a:endParaRPr lang="en-US"/>
          </a:p>
        </c:txPr>
        <c:crossAx val="499917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alpha val="3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[Restaurant_Dashboard.xlsx]Sheet3!PivotTable2</c:name>
    <c:fmtId val="11"/>
  </c:pivotSource>
  <c:chart>
    <c:title>
      <c:tx>
        <c:rich>
          <a:bodyPr rot="0" spcFirstLastPara="1" vertOverflow="ellipsis" vert="horz" wrap="square" anchor="ctr" anchorCtr="1"/>
          <a:lstStyle/>
          <a:p>
            <a:pPr>
              <a:defRPr sz="1400" b="0" i="0" u="none" strike="noStrike" kern="1200" spc="0" baseline="0">
                <a:solidFill>
                  <a:schemeClr val="tx1"/>
                </a:solidFill>
                <a:latin typeface="Abadi" panose="020B0604020104020204" pitchFamily="34" charset="0"/>
                <a:ea typeface="+mn-ea"/>
                <a:cs typeface="+mn-cs"/>
              </a:defRPr>
            </a:pPr>
            <a:r>
              <a:rPr lang="en-US">
                <a:solidFill>
                  <a:schemeClr val="tx1"/>
                </a:solidFill>
                <a:latin typeface="Abadi" panose="020B0604020104020204" pitchFamily="34" charset="0"/>
              </a:rPr>
              <a:t>Average</a:t>
            </a:r>
            <a:r>
              <a:rPr lang="en-US" baseline="0">
                <a:solidFill>
                  <a:schemeClr val="tx1"/>
                </a:solidFill>
                <a:latin typeface="Abadi" panose="020B0604020104020204" pitchFamily="34" charset="0"/>
              </a:rPr>
              <a:t> Total Bill By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Abadi" panose="020B0604020104020204" pitchFamily="34" charset="0"/>
              <a:ea typeface="+mn-ea"/>
              <a:cs typeface="+mn-cs"/>
            </a:defRPr>
          </a:pPr>
          <a:endParaRPr lang="en-US"/>
        </a:p>
      </c:txPr>
    </c:title>
    <c:autoTitleDeleted val="0"/>
    <c:pivotFmts>
      <c:pivotFmt>
        <c:idx val="0"/>
        <c:spPr>
          <a:solidFill>
            <a:schemeClr val="accent4">
              <a:lumMod val="20000"/>
              <a:lumOff val="80000"/>
            </a:schemeClr>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Sheet3!$B$18</c:f>
              <c:strCache>
                <c:ptCount val="1"/>
                <c:pt idx="0">
                  <c:v>Total</c:v>
                </c:pt>
              </c:strCache>
            </c:strRef>
          </c:tx>
          <c:spPr>
            <a:solidFill>
              <a:schemeClr val="accent4">
                <a:lumMod val="20000"/>
                <a:lumOff val="80000"/>
              </a:schemeClr>
            </a:solidFill>
            <a:ln>
              <a:solidFill>
                <a:sysClr val="windowText" lastClr="000000"/>
              </a:solidFill>
            </a:ln>
            <a:effectLst/>
          </c:spPr>
          <c:invertIfNegative val="0"/>
          <c:cat>
            <c:strRef>
              <c:f>Sheet3!$A$19:$A$22</c:f>
              <c:strCache>
                <c:ptCount val="4"/>
                <c:pt idx="0">
                  <c:v>Fri</c:v>
                </c:pt>
                <c:pt idx="1">
                  <c:v>Sat</c:v>
                </c:pt>
                <c:pt idx="2">
                  <c:v>Sun</c:v>
                </c:pt>
                <c:pt idx="3">
                  <c:v>Thur</c:v>
                </c:pt>
              </c:strCache>
            </c:strRef>
          </c:cat>
          <c:val>
            <c:numRef>
              <c:f>Sheet3!$B$19:$B$22</c:f>
              <c:numCache>
                <c:formatCode>"£"#,##0.00</c:formatCode>
                <c:ptCount val="4"/>
                <c:pt idx="0">
                  <c:v>17.151578947368417</c:v>
                </c:pt>
                <c:pt idx="1">
                  <c:v>20.441379310344825</c:v>
                </c:pt>
                <c:pt idx="2">
                  <c:v>21.410000000000004</c:v>
                </c:pt>
                <c:pt idx="3">
                  <c:v>17.682741935483865</c:v>
                </c:pt>
              </c:numCache>
            </c:numRef>
          </c:val>
          <c:extLst>
            <c:ext xmlns:c16="http://schemas.microsoft.com/office/drawing/2014/chart" uri="{C3380CC4-5D6E-409C-BE32-E72D297353CC}">
              <c16:uniqueId val="{00000000-E93F-45E8-B0C5-B1534680F472}"/>
            </c:ext>
          </c:extLst>
        </c:ser>
        <c:dLbls>
          <c:showLegendKey val="0"/>
          <c:showVal val="0"/>
          <c:showCatName val="0"/>
          <c:showSerName val="0"/>
          <c:showPercent val="0"/>
          <c:showBubbleSize val="0"/>
        </c:dLbls>
        <c:gapWidth val="182"/>
        <c:axId val="499956560"/>
        <c:axId val="499957520"/>
      </c:barChart>
      <c:catAx>
        <c:axId val="499956560"/>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badi" panose="020B0604020104020204" pitchFamily="34" charset="0"/>
                <a:ea typeface="+mn-ea"/>
                <a:cs typeface="+mn-cs"/>
              </a:defRPr>
            </a:pPr>
            <a:endParaRPr lang="en-US"/>
          </a:p>
        </c:txPr>
        <c:crossAx val="499957520"/>
        <c:crosses val="autoZero"/>
        <c:auto val="1"/>
        <c:lblAlgn val="ctr"/>
        <c:lblOffset val="100"/>
        <c:noMultiLvlLbl val="0"/>
      </c:catAx>
      <c:valAx>
        <c:axId val="499957520"/>
        <c:scaling>
          <c:orientation val="minMax"/>
        </c:scaling>
        <c:delete val="0"/>
        <c:axPos val="b"/>
        <c:majorGridlines>
          <c:spPr>
            <a:ln w="9525" cap="flat" cmpd="sng" algn="ctr">
              <a:solidFill>
                <a:schemeClr val="tx1"/>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badi" panose="020B0604020104020204" pitchFamily="34" charset="0"/>
                <a:ea typeface="+mn-ea"/>
                <a:cs typeface="+mn-cs"/>
              </a:defRPr>
            </a:pPr>
            <a:endParaRPr lang="en-US"/>
          </a:p>
        </c:txPr>
        <c:crossAx val="49995656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alpha val="3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[Restaurant_Dashboard.xlsx]Sheet3!PivotTable3</c:name>
    <c:fmtId val="18"/>
  </c:pivotSource>
  <c:chart>
    <c:title>
      <c:tx>
        <c:rich>
          <a:bodyPr rot="0" spcFirstLastPara="1" vertOverflow="ellipsis" vert="horz" wrap="square" anchor="ctr" anchorCtr="1"/>
          <a:lstStyle/>
          <a:p>
            <a:pPr>
              <a:defRPr sz="1400" b="0" i="0" u="none" strike="noStrike" kern="1200" spc="0" baseline="0">
                <a:solidFill>
                  <a:schemeClr val="tx1"/>
                </a:solidFill>
                <a:latin typeface="Abadi" panose="020B0604020104020204" pitchFamily="34" charset="0"/>
                <a:ea typeface="+mn-ea"/>
                <a:cs typeface="+mn-cs"/>
              </a:defRPr>
            </a:pPr>
            <a:r>
              <a:rPr lang="en-US">
                <a:solidFill>
                  <a:schemeClr val="tx1"/>
                </a:solidFill>
                <a:latin typeface="Abadi" panose="020B0604020104020204" pitchFamily="34" charset="0"/>
              </a:rPr>
              <a:t>Total tip By</a:t>
            </a:r>
            <a:r>
              <a:rPr lang="en-US" baseline="0">
                <a:solidFill>
                  <a:schemeClr val="tx1"/>
                </a:solidFill>
                <a:latin typeface="Abadi" panose="020B0604020104020204" pitchFamily="34" charset="0"/>
              </a:rPr>
              <a:t>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Abadi" panose="020B0604020104020204" pitchFamily="34" charset="0"/>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badi" panose="020B0604020104020204" pitchFamily="34" charset="0"/>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tx2"/>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Sheet3!$B$37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tx2"/>
              </a:solidFill>
              <a:ln w="25400">
                <a:solidFill>
                  <a:schemeClr val="lt1"/>
                </a:solidFill>
              </a:ln>
              <a:effectLst/>
              <a:sp3d contourW="25400">
                <a:contourClr>
                  <a:schemeClr val="lt1"/>
                </a:contourClr>
              </a:sp3d>
            </c:spPr>
            <c:extLst>
              <c:ext xmlns:c16="http://schemas.microsoft.com/office/drawing/2014/chart" uri="{C3380CC4-5D6E-409C-BE32-E72D297353CC}">
                <c16:uniqueId val="{00000002-DA3F-4C42-8296-2AD7961C2E35}"/>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badi" panose="020B0604020104020204" pitchFamily="34" charset="0"/>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Sheet3!$A$38:$A$39</c:f>
              <c:strCache>
                <c:ptCount val="2"/>
                <c:pt idx="0">
                  <c:v>Female</c:v>
                </c:pt>
                <c:pt idx="1">
                  <c:v>Male</c:v>
                </c:pt>
              </c:strCache>
            </c:strRef>
          </c:cat>
          <c:val>
            <c:numRef>
              <c:f>Sheet3!$B$38:$B$39</c:f>
              <c:numCache>
                <c:formatCode>"£"#,##0.00</c:formatCode>
                <c:ptCount val="2"/>
                <c:pt idx="0">
                  <c:v>246.51</c:v>
                </c:pt>
                <c:pt idx="1">
                  <c:v>485.07000000000011</c:v>
                </c:pt>
              </c:numCache>
            </c:numRef>
          </c:val>
          <c:extLst>
            <c:ext xmlns:c16="http://schemas.microsoft.com/office/drawing/2014/chart" uri="{C3380CC4-5D6E-409C-BE32-E72D297353CC}">
              <c16:uniqueId val="{00000000-DA3F-4C42-8296-2AD7961C2E35}"/>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alpha val="3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457201</xdr:colOff>
      <xdr:row>4</xdr:row>
      <xdr:rowOff>82275</xdr:rowOff>
    </xdr:from>
    <xdr:to>
      <xdr:col>8</xdr:col>
      <xdr:colOff>351976</xdr:colOff>
      <xdr:row>19</xdr:row>
      <xdr:rowOff>104775</xdr:rowOff>
    </xdr:to>
    <xdr:graphicFrame macro="">
      <xdr:nvGraphicFramePr>
        <xdr:cNvPr id="2" name="Chart 1">
          <a:extLst>
            <a:ext uri="{FF2B5EF4-FFF2-40B4-BE49-F238E27FC236}">
              <a16:creationId xmlns:a16="http://schemas.microsoft.com/office/drawing/2014/main" id="{4D833E48-7187-2C74-3E69-5ABDC856AE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57150</xdr:colOff>
      <xdr:row>14</xdr:row>
      <xdr:rowOff>114298</xdr:rowOff>
    </xdr:from>
    <xdr:to>
      <xdr:col>13</xdr:col>
      <xdr:colOff>277950</xdr:colOff>
      <xdr:row>19</xdr:row>
      <xdr:rowOff>151798</xdr:rowOff>
    </xdr:to>
    <mc:AlternateContent xmlns:mc="http://schemas.openxmlformats.org/markup-compatibility/2006">
      <mc:Choice xmlns:a14="http://schemas.microsoft.com/office/drawing/2010/main" Requires="a14">
        <xdr:graphicFrame macro="">
          <xdr:nvGraphicFramePr>
            <xdr:cNvPr id="3" name="time">
              <a:extLst>
                <a:ext uri="{FF2B5EF4-FFF2-40B4-BE49-F238E27FC236}">
                  <a16:creationId xmlns:a16="http://schemas.microsoft.com/office/drawing/2014/main" id="{0E984C98-9D00-0ECF-E3F0-625E6518B0CD}"/>
                </a:ext>
              </a:extLst>
            </xdr:cNvPr>
            <xdr:cNvGraphicFramePr/>
          </xdr:nvGraphicFramePr>
          <xdr:xfrm>
            <a:off x="0" y="0"/>
            <a:ext cx="0" cy="0"/>
          </xdr:xfrm>
          <a:graphic>
            <a:graphicData uri="http://schemas.microsoft.com/office/drawing/2010/slicer">
              <sle:slicer xmlns:sle="http://schemas.microsoft.com/office/drawing/2010/slicer" name="time"/>
            </a:graphicData>
          </a:graphic>
        </xdr:graphicFrame>
      </mc:Choice>
      <mc:Fallback>
        <xdr:sp macro="" textlink="">
          <xdr:nvSpPr>
            <xdr:cNvPr id="0" name=""/>
            <xdr:cNvSpPr>
              <a:spLocks noTextEdit="1"/>
            </xdr:cNvSpPr>
          </xdr:nvSpPr>
          <xdr:spPr>
            <a:xfrm>
              <a:off x="9677400" y="2781298"/>
              <a:ext cx="1440000" cy="990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457201</xdr:colOff>
      <xdr:row>19</xdr:row>
      <xdr:rowOff>180974</xdr:rowOff>
    </xdr:from>
    <xdr:to>
      <xdr:col>13</xdr:col>
      <xdr:colOff>266701</xdr:colOff>
      <xdr:row>33</xdr:row>
      <xdr:rowOff>117747</xdr:rowOff>
    </xdr:to>
    <xdr:graphicFrame macro="">
      <xdr:nvGraphicFramePr>
        <xdr:cNvPr id="4" name="Chart 3">
          <a:extLst>
            <a:ext uri="{FF2B5EF4-FFF2-40B4-BE49-F238E27FC236}">
              <a16:creationId xmlns:a16="http://schemas.microsoft.com/office/drawing/2014/main" id="{E9FE5906-709E-1680-9A91-948BFA10A0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428625</xdr:colOff>
      <xdr:row>4</xdr:row>
      <xdr:rowOff>95250</xdr:rowOff>
    </xdr:from>
    <xdr:to>
      <xdr:col>13</xdr:col>
      <xdr:colOff>276225</xdr:colOff>
      <xdr:row>14</xdr:row>
      <xdr:rowOff>57150</xdr:rowOff>
    </xdr:to>
    <xdr:graphicFrame macro="">
      <xdr:nvGraphicFramePr>
        <xdr:cNvPr id="5" name="Chart 4">
          <a:extLst>
            <a:ext uri="{FF2B5EF4-FFF2-40B4-BE49-F238E27FC236}">
              <a16:creationId xmlns:a16="http://schemas.microsoft.com/office/drawing/2014/main" id="{90A6E238-5F31-1BF0-5F5E-102BB27D11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419100</xdr:colOff>
      <xdr:row>14</xdr:row>
      <xdr:rowOff>104774</xdr:rowOff>
    </xdr:from>
    <xdr:to>
      <xdr:col>11</xdr:col>
      <xdr:colOff>30300</xdr:colOff>
      <xdr:row>19</xdr:row>
      <xdr:rowOff>142274</xdr:rowOff>
    </xdr:to>
    <xdr:sp macro="" textlink="">
      <xdr:nvSpPr>
        <xdr:cNvPr id="6" name="Rectangle 5">
          <a:extLst>
            <a:ext uri="{FF2B5EF4-FFF2-40B4-BE49-F238E27FC236}">
              <a16:creationId xmlns:a16="http://schemas.microsoft.com/office/drawing/2014/main" id="{88923841-8D2F-5512-9C76-FC70C89EDE13}"/>
            </a:ext>
          </a:extLst>
        </xdr:cNvPr>
        <xdr:cNvSpPr/>
      </xdr:nvSpPr>
      <xdr:spPr>
        <a:xfrm>
          <a:off x="8181975" y="2771774"/>
          <a:ext cx="1440000" cy="990000"/>
        </a:xfrm>
        <a:prstGeom prst="rect">
          <a:avLst/>
        </a:prstGeom>
        <a:gradFill flip="none" rotWithShape="1">
          <a:gsLst>
            <a:gs pos="0">
              <a:schemeClr val="accent2">
                <a:tint val="66000"/>
                <a:satMod val="160000"/>
              </a:schemeClr>
            </a:gs>
            <a:gs pos="50000">
              <a:schemeClr val="accent2">
                <a:tint val="44500"/>
                <a:satMod val="160000"/>
              </a:schemeClr>
            </a:gs>
            <a:gs pos="100000">
              <a:schemeClr val="accent2">
                <a:tint val="23500"/>
                <a:satMod val="160000"/>
              </a:schemeClr>
            </a:gs>
          </a:gsLst>
          <a:lin ang="10800000" scaled="1"/>
          <a:tileRect/>
        </a:gradFill>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GB" sz="1100">
              <a:solidFill>
                <a:sysClr val="windowText" lastClr="000000"/>
              </a:solidFill>
              <a:latin typeface="Abadi" panose="020B0604020104020204" pitchFamily="34" charset="0"/>
            </a:rPr>
            <a:t>Average Total Bill</a:t>
          </a:r>
          <a:r>
            <a:rPr lang="en-GB" sz="1100" baseline="0">
              <a:solidFill>
                <a:sysClr val="windowText" lastClr="000000"/>
              </a:solidFill>
              <a:latin typeface="Abadi" panose="020B0604020104020204" pitchFamily="34" charset="0"/>
            </a:rPr>
            <a:t> </a:t>
          </a:r>
        </a:p>
        <a:p>
          <a:pPr algn="ctr"/>
          <a:r>
            <a:rPr lang="en-GB" sz="1100" baseline="0">
              <a:solidFill>
                <a:sysClr val="windowText" lastClr="000000"/>
              </a:solidFill>
              <a:latin typeface="Abadi" panose="020B0604020104020204" pitchFamily="34" charset="0"/>
            </a:rPr>
            <a:t>£19.80</a:t>
          </a:r>
        </a:p>
        <a:p>
          <a:pPr algn="l"/>
          <a:r>
            <a:rPr lang="en-GB" sz="1100"/>
            <a:t>`</a:t>
          </a:r>
        </a:p>
      </xdr:txBody>
    </xdr:sp>
    <xdr:clientData/>
  </xdr:twoCellAnchor>
  <xdr:twoCellAnchor>
    <xdr:from>
      <xdr:col>4</xdr:col>
      <xdr:colOff>447675</xdr:colOff>
      <xdr:row>2</xdr:row>
      <xdr:rowOff>57150</xdr:rowOff>
    </xdr:from>
    <xdr:to>
      <xdr:col>13</xdr:col>
      <xdr:colOff>266700</xdr:colOff>
      <xdr:row>4</xdr:row>
      <xdr:rowOff>66675</xdr:rowOff>
    </xdr:to>
    <xdr:sp macro="" textlink="">
      <xdr:nvSpPr>
        <xdr:cNvPr id="7" name="TextBox 6">
          <a:extLst>
            <a:ext uri="{FF2B5EF4-FFF2-40B4-BE49-F238E27FC236}">
              <a16:creationId xmlns:a16="http://schemas.microsoft.com/office/drawing/2014/main" id="{0DBA3048-2EE9-6C32-2DA8-4800372F9758}"/>
            </a:ext>
          </a:extLst>
        </xdr:cNvPr>
        <xdr:cNvSpPr txBox="1"/>
      </xdr:nvSpPr>
      <xdr:spPr>
        <a:xfrm>
          <a:off x="4533900" y="438150"/>
          <a:ext cx="6572250" cy="3905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000">
              <a:latin typeface="Abadi" panose="020B0604020104020204" pitchFamily="34" charset="0"/>
            </a:rPr>
            <a:t>Restaurant Dashboard</a:t>
          </a:r>
          <a:r>
            <a:rPr lang="en-GB" sz="2000" baseline="0">
              <a:latin typeface="Abadi" panose="020B0604020104020204" pitchFamily="34" charset="0"/>
            </a:rPr>
            <a:t> </a:t>
          </a:r>
          <a:endParaRPr lang="en-GB" sz="2000">
            <a:latin typeface="Abadi" panose="020B0604020104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r taz" refreshedDate="45998.737149074077" createdVersion="8" refreshedVersion="8" minRefreshableVersion="3" recordCount="244" xr:uid="{B2BD1138-993D-4550-B738-4F28D678859C}">
  <cacheSource type="worksheet">
    <worksheetSource name="tips"/>
  </cacheSource>
  <cacheFields count="10">
    <cacheField name="total_bill" numFmtId="164">
      <sharedItems containsSemiMixedTypes="0" containsString="0" containsNumber="1" minValue="3.07" maxValue="50.81" count="229">
        <n v="16.989999999999998"/>
        <n v="10.34"/>
        <n v="21.01"/>
        <n v="23.68"/>
        <n v="24.59"/>
        <n v="25.29"/>
        <n v="8.77"/>
        <n v="26.88"/>
        <n v="15.04"/>
        <n v="14.78"/>
        <n v="10.27"/>
        <n v="35.26"/>
        <n v="15.42"/>
        <n v="18.43"/>
        <n v="14.83"/>
        <n v="21.58"/>
        <n v="10.33"/>
        <n v="16.29"/>
        <n v="16.97"/>
        <n v="20.65"/>
        <n v="17.920000000000002"/>
        <n v="20.29"/>
        <n v="15.77"/>
        <n v="39.42"/>
        <n v="19.82"/>
        <n v="17.809999999999999"/>
        <n v="13.37"/>
        <n v="12.69"/>
        <n v="21.7"/>
        <n v="19.649999999999999"/>
        <n v="9.5500000000000007"/>
        <n v="18.350000000000001"/>
        <n v="15.06"/>
        <n v="20.69"/>
        <n v="17.78"/>
        <n v="24.06"/>
        <n v="16.309999999999999"/>
        <n v="16.93"/>
        <n v="18.690000000000001"/>
        <n v="31.27"/>
        <n v="16.04"/>
        <n v="17.46"/>
        <n v="13.94"/>
        <n v="9.68"/>
        <n v="30.4"/>
        <n v="18.29"/>
        <n v="22.23"/>
        <n v="32.4"/>
        <n v="28.55"/>
        <n v="18.04"/>
        <n v="12.54"/>
        <n v="10.29"/>
        <n v="34.81"/>
        <n v="9.94"/>
        <n v="25.56"/>
        <n v="19.489999999999998"/>
        <n v="38.01"/>
        <n v="26.41"/>
        <n v="11.24"/>
        <n v="48.27"/>
        <n v="13.81"/>
        <n v="11.02"/>
        <n v="17.59"/>
        <n v="20.079999999999998"/>
        <n v="16.45"/>
        <n v="3.07"/>
        <n v="20.23"/>
        <n v="15.01"/>
        <n v="12.02"/>
        <n v="17.07"/>
        <n v="26.86"/>
        <n v="25.28"/>
        <n v="14.73"/>
        <n v="10.51"/>
        <n v="27.2"/>
        <n v="22.76"/>
        <n v="17.29"/>
        <n v="19.440000000000001"/>
        <n v="16.66"/>
        <n v="10.07"/>
        <n v="32.68"/>
        <n v="15.98"/>
        <n v="34.83"/>
        <n v="13.03"/>
        <n v="18.28"/>
        <n v="24.71"/>
        <n v="21.16"/>
        <n v="28.97"/>
        <n v="22.49"/>
        <n v="5.75"/>
        <n v="16.32"/>
        <n v="22.75"/>
        <n v="40.17"/>
        <n v="27.28"/>
        <n v="12.03"/>
        <n v="12.46"/>
        <n v="11.35"/>
        <n v="15.38"/>
        <n v="44.3"/>
        <n v="22.42"/>
        <n v="20.92"/>
        <n v="15.36"/>
        <n v="20.49"/>
        <n v="25.21"/>
        <n v="18.239999999999998"/>
        <n v="14.31"/>
        <n v="14"/>
        <n v="7.25"/>
        <n v="38.07"/>
        <n v="23.95"/>
        <n v="25.71"/>
        <n v="17.309999999999999"/>
        <n v="29.93"/>
        <n v="10.65"/>
        <n v="12.43"/>
        <n v="24.08"/>
        <n v="11.69"/>
        <n v="13.42"/>
        <n v="14.26"/>
        <n v="15.95"/>
        <n v="12.48"/>
        <n v="29.8"/>
        <n v="8.52"/>
        <n v="14.52"/>
        <n v="11.38"/>
        <n v="22.82"/>
        <n v="19.079999999999998"/>
        <n v="20.27"/>
        <n v="11.17"/>
        <n v="12.26"/>
        <n v="18.260000000000002"/>
        <n v="8.51"/>
        <n v="14.15"/>
        <n v="16"/>
        <n v="13.16"/>
        <n v="17.47"/>
        <n v="34.299999999999997"/>
        <n v="41.19"/>
        <n v="27.05"/>
        <n v="16.43"/>
        <n v="8.35"/>
        <n v="18.64"/>
        <n v="11.87"/>
        <n v="9.7799999999999994"/>
        <n v="7.51"/>
        <n v="14.07"/>
        <n v="13.13"/>
        <n v="17.260000000000002"/>
        <n v="24.55"/>
        <n v="19.77"/>
        <n v="29.85"/>
        <n v="48.17"/>
        <n v="25"/>
        <n v="13.39"/>
        <n v="16.489999999999998"/>
        <n v="21.5"/>
        <n v="12.66"/>
        <n v="16.21"/>
        <n v="17.510000000000002"/>
        <n v="24.52"/>
        <n v="20.76"/>
        <n v="31.71"/>
        <n v="10.59"/>
        <n v="10.63"/>
        <n v="50.81"/>
        <n v="15.81"/>
        <n v="31.85"/>
        <n v="16.82"/>
        <n v="32.9"/>
        <n v="17.89"/>
        <n v="14.48"/>
        <n v="9.6"/>
        <n v="34.630000000000003"/>
        <n v="34.65"/>
        <n v="23.33"/>
        <n v="45.35"/>
        <n v="23.17"/>
        <n v="40.549999999999997"/>
        <n v="20.9"/>
        <n v="30.46"/>
        <n v="18.149999999999999"/>
        <n v="23.1"/>
        <n v="15.69"/>
        <n v="19.809999999999999"/>
        <n v="28.44"/>
        <n v="15.48"/>
        <n v="16.579999999999998"/>
        <n v="7.56"/>
        <n v="43.11"/>
        <n v="13"/>
        <n v="13.51"/>
        <n v="18.71"/>
        <n v="12.74"/>
        <n v="16.399999999999999"/>
        <n v="20.53"/>
        <n v="16.47"/>
        <n v="26.59"/>
        <n v="38.729999999999997"/>
        <n v="24.27"/>
        <n v="12.76"/>
        <n v="30.06"/>
        <n v="25.89"/>
        <n v="48.33"/>
        <n v="13.27"/>
        <n v="28.17"/>
        <n v="12.9"/>
        <n v="28.15"/>
        <n v="11.59"/>
        <n v="7.74"/>
        <n v="30.14"/>
        <n v="12.16"/>
        <n v="8.58"/>
        <n v="16.27"/>
        <n v="10.09"/>
        <n v="20.45"/>
        <n v="13.28"/>
        <n v="22.12"/>
        <n v="24.01"/>
        <n v="11.61"/>
        <n v="10.77"/>
        <n v="15.53"/>
        <n v="12.6"/>
        <n v="32.83"/>
        <n v="35.83"/>
        <n v="29.03"/>
        <n v="27.18"/>
        <n v="22.67"/>
        <n v="17.82"/>
        <n v="18.78"/>
      </sharedItems>
    </cacheField>
    <cacheField name="tip" numFmtId="164">
      <sharedItems containsSemiMixedTypes="0" containsString="0" containsNumber="1" minValue="1" maxValue="10"/>
    </cacheField>
    <cacheField name="sex" numFmtId="0">
      <sharedItems count="2">
        <s v="Female"/>
        <s v="Male"/>
      </sharedItems>
    </cacheField>
    <cacheField name="smoker" numFmtId="0">
      <sharedItems count="2">
        <s v="No"/>
        <s v="Yes"/>
      </sharedItems>
    </cacheField>
    <cacheField name="day" numFmtId="0">
      <sharedItems count="4">
        <s v="Sun"/>
        <s v="Sat"/>
        <s v="Thur"/>
        <s v="Fri"/>
      </sharedItems>
    </cacheField>
    <cacheField name="time" numFmtId="0">
      <sharedItems count="2">
        <s v="Dinner"/>
        <s v="Lunch"/>
      </sharedItems>
    </cacheField>
    <cacheField name="Customers" numFmtId="0">
      <sharedItems containsSemiMixedTypes="0" containsString="0" containsNumber="1" containsInteger="1" minValue="1" maxValue="6" count="6">
        <n v="2"/>
        <n v="3"/>
        <n v="4"/>
        <n v="1"/>
        <n v="6"/>
        <n v="5"/>
      </sharedItems>
    </cacheField>
    <cacheField name="Tip Percentage " numFmtId="10">
      <sharedItems containsSemiMixedTypes="0" containsString="0" containsNumber="1" minValue="3.5638135851355467E-2" maxValue="0.71034482758620698"/>
    </cacheField>
    <cacheField name="Bill per Person" numFmtId="164">
      <sharedItems containsSemiMixedTypes="0" containsString="0" containsNumber="1" minValue="2.875" maxValue="20.274999999999999"/>
    </cacheField>
    <cacheField name="Tip per Person" numFmtId="164">
      <sharedItems containsSemiMixedTypes="0" containsString="0" containsNumber="1" minValue="0.4" maxValue="3.3333333333333335"/>
    </cacheField>
  </cacheFields>
  <extLst>
    <ext xmlns:x14="http://schemas.microsoft.com/office/spreadsheetml/2009/9/main" uri="{725AE2AE-9491-48be-B2B4-4EB974FC3084}">
      <x14:pivotCacheDefinition pivotCacheId="7312267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4">
  <r>
    <x v="0"/>
    <n v="1.01"/>
    <x v="0"/>
    <x v="0"/>
    <x v="0"/>
    <x v="0"/>
    <x v="0"/>
    <n v="5.9446733372572107E-2"/>
    <n v="8.4949999999999992"/>
    <n v="0.505"/>
  </r>
  <r>
    <x v="1"/>
    <n v="1.66"/>
    <x v="1"/>
    <x v="0"/>
    <x v="0"/>
    <x v="0"/>
    <x v="1"/>
    <n v="0.16054158607350097"/>
    <n v="3.4466666666666668"/>
    <n v="0.55333333333333334"/>
  </r>
  <r>
    <x v="2"/>
    <n v="3.5"/>
    <x v="1"/>
    <x v="0"/>
    <x v="0"/>
    <x v="0"/>
    <x v="1"/>
    <n v="0.16658733936220846"/>
    <n v="7.0033333333333339"/>
    <n v="1.1666666666666667"/>
  </r>
  <r>
    <x v="3"/>
    <n v="3.31"/>
    <x v="1"/>
    <x v="0"/>
    <x v="0"/>
    <x v="0"/>
    <x v="0"/>
    <n v="0.1397804054054054"/>
    <n v="11.84"/>
    <n v="1.655"/>
  </r>
  <r>
    <x v="4"/>
    <n v="3.61"/>
    <x v="0"/>
    <x v="0"/>
    <x v="0"/>
    <x v="0"/>
    <x v="2"/>
    <n v="0.14680764538430255"/>
    <n v="6.1475"/>
    <n v="0.90249999999999997"/>
  </r>
  <r>
    <x v="5"/>
    <n v="4.71"/>
    <x v="1"/>
    <x v="0"/>
    <x v="0"/>
    <x v="0"/>
    <x v="2"/>
    <n v="0.18623962040332148"/>
    <n v="6.3224999999999998"/>
    <n v="1.1775"/>
  </r>
  <r>
    <x v="6"/>
    <n v="2"/>
    <x v="1"/>
    <x v="0"/>
    <x v="0"/>
    <x v="0"/>
    <x v="0"/>
    <n v="0.22805017103762829"/>
    <n v="4.3849999999999998"/>
    <n v="1"/>
  </r>
  <r>
    <x v="7"/>
    <n v="3.12"/>
    <x v="1"/>
    <x v="0"/>
    <x v="0"/>
    <x v="0"/>
    <x v="2"/>
    <n v="0.11607142857142858"/>
    <n v="6.72"/>
    <n v="0.78"/>
  </r>
  <r>
    <x v="8"/>
    <n v="1.96"/>
    <x v="1"/>
    <x v="0"/>
    <x v="0"/>
    <x v="0"/>
    <x v="0"/>
    <n v="0.13031914893617022"/>
    <n v="7.52"/>
    <n v="0.98"/>
  </r>
  <r>
    <x v="9"/>
    <n v="3.23"/>
    <x v="1"/>
    <x v="0"/>
    <x v="0"/>
    <x v="0"/>
    <x v="0"/>
    <n v="0.21853856562922869"/>
    <n v="7.39"/>
    <n v="1.615"/>
  </r>
  <r>
    <x v="10"/>
    <n v="1.71"/>
    <x v="1"/>
    <x v="0"/>
    <x v="0"/>
    <x v="0"/>
    <x v="0"/>
    <n v="0.1665043816942551"/>
    <n v="5.1349999999999998"/>
    <n v="0.85499999999999998"/>
  </r>
  <r>
    <x v="11"/>
    <n v="5"/>
    <x v="0"/>
    <x v="0"/>
    <x v="0"/>
    <x v="0"/>
    <x v="2"/>
    <n v="0.14180374361883155"/>
    <n v="8.8149999999999995"/>
    <n v="1.25"/>
  </r>
  <r>
    <x v="12"/>
    <n v="1.57"/>
    <x v="1"/>
    <x v="0"/>
    <x v="0"/>
    <x v="0"/>
    <x v="0"/>
    <n v="0.10181582360570687"/>
    <n v="7.71"/>
    <n v="0.78500000000000003"/>
  </r>
  <r>
    <x v="13"/>
    <n v="3"/>
    <x v="1"/>
    <x v="0"/>
    <x v="0"/>
    <x v="0"/>
    <x v="2"/>
    <n v="0.16277807921866522"/>
    <n v="4.6074999999999999"/>
    <n v="0.75"/>
  </r>
  <r>
    <x v="14"/>
    <n v="3.02"/>
    <x v="0"/>
    <x v="0"/>
    <x v="0"/>
    <x v="0"/>
    <x v="0"/>
    <n v="0.20364126770060686"/>
    <n v="7.415"/>
    <n v="1.51"/>
  </r>
  <r>
    <x v="15"/>
    <n v="3.92"/>
    <x v="1"/>
    <x v="0"/>
    <x v="0"/>
    <x v="0"/>
    <x v="0"/>
    <n v="0.18164967562557924"/>
    <n v="10.79"/>
    <n v="1.96"/>
  </r>
  <r>
    <x v="16"/>
    <n v="1.67"/>
    <x v="0"/>
    <x v="0"/>
    <x v="0"/>
    <x v="0"/>
    <x v="1"/>
    <n v="0.16166505324298161"/>
    <n v="3.4433333333333334"/>
    <n v="0.55666666666666664"/>
  </r>
  <r>
    <x v="17"/>
    <n v="3.71"/>
    <x v="1"/>
    <x v="0"/>
    <x v="0"/>
    <x v="0"/>
    <x v="1"/>
    <n v="0.22774708410067526"/>
    <n v="5.43"/>
    <n v="1.2366666666666666"/>
  </r>
  <r>
    <x v="18"/>
    <n v="3.5"/>
    <x v="0"/>
    <x v="0"/>
    <x v="0"/>
    <x v="0"/>
    <x v="1"/>
    <n v="0.20624631703005306"/>
    <n v="5.6566666666666663"/>
    <n v="1.1666666666666667"/>
  </r>
  <r>
    <x v="19"/>
    <n v="3.35"/>
    <x v="1"/>
    <x v="0"/>
    <x v="1"/>
    <x v="0"/>
    <x v="1"/>
    <n v="0.16222760290556903"/>
    <n v="6.8833333333333329"/>
    <n v="1.1166666666666667"/>
  </r>
  <r>
    <x v="20"/>
    <n v="4.08"/>
    <x v="1"/>
    <x v="0"/>
    <x v="1"/>
    <x v="0"/>
    <x v="0"/>
    <n v="0.22767857142857142"/>
    <n v="8.9600000000000009"/>
    <n v="2.04"/>
  </r>
  <r>
    <x v="21"/>
    <n v="2.75"/>
    <x v="0"/>
    <x v="0"/>
    <x v="1"/>
    <x v="0"/>
    <x v="0"/>
    <n v="0.13553474618038444"/>
    <n v="10.145"/>
    <n v="1.375"/>
  </r>
  <r>
    <x v="22"/>
    <n v="2.23"/>
    <x v="0"/>
    <x v="0"/>
    <x v="1"/>
    <x v="0"/>
    <x v="0"/>
    <n v="0.14140773620798985"/>
    <n v="7.8849999999999998"/>
    <n v="1.115"/>
  </r>
  <r>
    <x v="23"/>
    <n v="7.58"/>
    <x v="1"/>
    <x v="0"/>
    <x v="1"/>
    <x v="0"/>
    <x v="2"/>
    <n v="0.19228817858954844"/>
    <n v="9.8550000000000004"/>
    <n v="1.895"/>
  </r>
  <r>
    <x v="24"/>
    <n v="3.18"/>
    <x v="1"/>
    <x v="0"/>
    <x v="1"/>
    <x v="0"/>
    <x v="0"/>
    <n v="0.16044399596367306"/>
    <n v="9.91"/>
    <n v="1.59"/>
  </r>
  <r>
    <x v="25"/>
    <n v="2.34"/>
    <x v="1"/>
    <x v="0"/>
    <x v="1"/>
    <x v="0"/>
    <x v="2"/>
    <n v="0.13138686131386862"/>
    <n v="4.4524999999999997"/>
    <n v="0.58499999999999996"/>
  </r>
  <r>
    <x v="26"/>
    <n v="2"/>
    <x v="1"/>
    <x v="0"/>
    <x v="1"/>
    <x v="0"/>
    <x v="0"/>
    <n v="0.14958863126402394"/>
    <n v="6.6849999999999996"/>
    <n v="1"/>
  </r>
  <r>
    <x v="27"/>
    <n v="2"/>
    <x v="1"/>
    <x v="0"/>
    <x v="1"/>
    <x v="0"/>
    <x v="0"/>
    <n v="0.15760441292356187"/>
    <n v="6.3449999999999998"/>
    <n v="1"/>
  </r>
  <r>
    <x v="28"/>
    <n v="4.3"/>
    <x v="1"/>
    <x v="0"/>
    <x v="1"/>
    <x v="0"/>
    <x v="0"/>
    <n v="0.19815668202764977"/>
    <n v="10.85"/>
    <n v="2.15"/>
  </r>
  <r>
    <x v="29"/>
    <n v="3"/>
    <x v="0"/>
    <x v="0"/>
    <x v="1"/>
    <x v="0"/>
    <x v="0"/>
    <n v="0.15267175572519084"/>
    <n v="9.8249999999999993"/>
    <n v="1.5"/>
  </r>
  <r>
    <x v="30"/>
    <n v="1.45"/>
    <x v="1"/>
    <x v="0"/>
    <x v="1"/>
    <x v="0"/>
    <x v="0"/>
    <n v="0.15183246073298429"/>
    <n v="4.7750000000000004"/>
    <n v="0.72499999999999998"/>
  </r>
  <r>
    <x v="31"/>
    <n v="2.5"/>
    <x v="1"/>
    <x v="0"/>
    <x v="1"/>
    <x v="0"/>
    <x v="2"/>
    <n v="0.13623978201634876"/>
    <n v="4.5875000000000004"/>
    <n v="0.625"/>
  </r>
  <r>
    <x v="32"/>
    <n v="3"/>
    <x v="0"/>
    <x v="0"/>
    <x v="1"/>
    <x v="0"/>
    <x v="0"/>
    <n v="0.19920318725099601"/>
    <n v="7.53"/>
    <n v="1.5"/>
  </r>
  <r>
    <x v="33"/>
    <n v="2.4500000000000002"/>
    <x v="0"/>
    <x v="0"/>
    <x v="1"/>
    <x v="0"/>
    <x v="2"/>
    <n v="0.11841469308844853"/>
    <n v="5.1725000000000003"/>
    <n v="0.61250000000000004"/>
  </r>
  <r>
    <x v="34"/>
    <n v="3.27"/>
    <x v="1"/>
    <x v="0"/>
    <x v="1"/>
    <x v="0"/>
    <x v="0"/>
    <n v="0.18391451068616421"/>
    <n v="8.89"/>
    <n v="1.635"/>
  </r>
  <r>
    <x v="35"/>
    <n v="3.6"/>
    <x v="1"/>
    <x v="0"/>
    <x v="1"/>
    <x v="0"/>
    <x v="1"/>
    <n v="0.14962593516209477"/>
    <n v="8.02"/>
    <n v="1.2"/>
  </r>
  <r>
    <x v="36"/>
    <n v="2"/>
    <x v="1"/>
    <x v="0"/>
    <x v="1"/>
    <x v="0"/>
    <x v="1"/>
    <n v="0.12262415695892091"/>
    <n v="5.4366666666666665"/>
    <n v="0.66666666666666663"/>
  </r>
  <r>
    <x v="37"/>
    <n v="3.07"/>
    <x v="0"/>
    <x v="0"/>
    <x v="1"/>
    <x v="0"/>
    <x v="1"/>
    <n v="0.1813349084465446"/>
    <n v="5.6433333333333335"/>
    <n v="1.0233333333333332"/>
  </r>
  <r>
    <x v="38"/>
    <n v="2.31"/>
    <x v="1"/>
    <x v="0"/>
    <x v="1"/>
    <x v="0"/>
    <x v="1"/>
    <n v="0.12359550561797752"/>
    <n v="6.23"/>
    <n v="0.77"/>
  </r>
  <r>
    <x v="39"/>
    <n v="5"/>
    <x v="1"/>
    <x v="0"/>
    <x v="1"/>
    <x v="0"/>
    <x v="1"/>
    <n v="0.1598976654940838"/>
    <n v="10.423333333333334"/>
    <n v="1.6666666666666667"/>
  </r>
  <r>
    <x v="40"/>
    <n v="2.2400000000000002"/>
    <x v="1"/>
    <x v="0"/>
    <x v="1"/>
    <x v="0"/>
    <x v="1"/>
    <n v="0.13965087281795513"/>
    <n v="5.3466666666666667"/>
    <n v="0.7466666666666667"/>
  </r>
  <r>
    <x v="41"/>
    <n v="2.54"/>
    <x v="1"/>
    <x v="0"/>
    <x v="0"/>
    <x v="0"/>
    <x v="0"/>
    <n v="0.14547537227949597"/>
    <n v="8.73"/>
    <n v="1.27"/>
  </r>
  <r>
    <x v="42"/>
    <n v="3.06"/>
    <x v="1"/>
    <x v="0"/>
    <x v="0"/>
    <x v="0"/>
    <x v="0"/>
    <n v="0.21951219512195122"/>
    <n v="6.97"/>
    <n v="1.53"/>
  </r>
  <r>
    <x v="43"/>
    <n v="1.32"/>
    <x v="1"/>
    <x v="0"/>
    <x v="0"/>
    <x v="0"/>
    <x v="0"/>
    <n v="0.13636363636363638"/>
    <n v="4.84"/>
    <n v="0.66"/>
  </r>
  <r>
    <x v="44"/>
    <n v="5.6"/>
    <x v="1"/>
    <x v="0"/>
    <x v="0"/>
    <x v="0"/>
    <x v="2"/>
    <n v="0.18421052631578946"/>
    <n v="7.6"/>
    <n v="1.4"/>
  </r>
  <r>
    <x v="45"/>
    <n v="3"/>
    <x v="1"/>
    <x v="0"/>
    <x v="0"/>
    <x v="0"/>
    <x v="0"/>
    <n v="0.16402405686167304"/>
    <n v="9.1449999999999996"/>
    <n v="1.5"/>
  </r>
  <r>
    <x v="46"/>
    <n v="5"/>
    <x v="1"/>
    <x v="0"/>
    <x v="0"/>
    <x v="0"/>
    <x v="0"/>
    <n v="0.22492127755285649"/>
    <n v="11.115"/>
    <n v="2.5"/>
  </r>
  <r>
    <x v="47"/>
    <n v="6"/>
    <x v="1"/>
    <x v="0"/>
    <x v="0"/>
    <x v="0"/>
    <x v="2"/>
    <n v="0.1851851851851852"/>
    <n v="8.1"/>
    <n v="1.5"/>
  </r>
  <r>
    <x v="48"/>
    <n v="2.0499999999999998"/>
    <x v="1"/>
    <x v="0"/>
    <x v="0"/>
    <x v="0"/>
    <x v="1"/>
    <n v="7.1803852889667244E-2"/>
    <n v="9.5166666666666675"/>
    <n v="0.68333333333333324"/>
  </r>
  <r>
    <x v="49"/>
    <n v="3"/>
    <x v="1"/>
    <x v="0"/>
    <x v="0"/>
    <x v="0"/>
    <x v="0"/>
    <n v="0.16629711751662973"/>
    <n v="9.02"/>
    <n v="1.5"/>
  </r>
  <r>
    <x v="50"/>
    <n v="2.5"/>
    <x v="1"/>
    <x v="0"/>
    <x v="0"/>
    <x v="0"/>
    <x v="0"/>
    <n v="0.19936204146730463"/>
    <n v="6.27"/>
    <n v="1.25"/>
  </r>
  <r>
    <x v="51"/>
    <n v="2.6"/>
    <x v="0"/>
    <x v="0"/>
    <x v="0"/>
    <x v="0"/>
    <x v="0"/>
    <n v="0.25267249757045679"/>
    <n v="5.1449999999999996"/>
    <n v="1.3"/>
  </r>
  <r>
    <x v="52"/>
    <n v="5.2"/>
    <x v="0"/>
    <x v="0"/>
    <x v="0"/>
    <x v="0"/>
    <x v="2"/>
    <n v="0.14938236139040506"/>
    <n v="8.7025000000000006"/>
    <n v="1.3"/>
  </r>
  <r>
    <x v="53"/>
    <n v="1.56"/>
    <x v="1"/>
    <x v="0"/>
    <x v="0"/>
    <x v="0"/>
    <x v="0"/>
    <n v="0.15694164989939638"/>
    <n v="4.97"/>
    <n v="0.78"/>
  </r>
  <r>
    <x v="54"/>
    <n v="4.34"/>
    <x v="1"/>
    <x v="0"/>
    <x v="0"/>
    <x v="0"/>
    <x v="2"/>
    <n v="0.16979655712050079"/>
    <n v="6.39"/>
    <n v="1.085"/>
  </r>
  <r>
    <x v="55"/>
    <n v="3.51"/>
    <x v="1"/>
    <x v="0"/>
    <x v="0"/>
    <x v="0"/>
    <x v="0"/>
    <n v="0.18009235505387378"/>
    <n v="9.7449999999999992"/>
    <n v="1.7549999999999999"/>
  </r>
  <r>
    <x v="56"/>
    <n v="3"/>
    <x v="1"/>
    <x v="1"/>
    <x v="1"/>
    <x v="0"/>
    <x v="2"/>
    <n v="7.8926598263614839E-2"/>
    <n v="9.5024999999999995"/>
    <n v="0.75"/>
  </r>
  <r>
    <x v="57"/>
    <n v="1.5"/>
    <x v="0"/>
    <x v="0"/>
    <x v="1"/>
    <x v="0"/>
    <x v="0"/>
    <n v="5.679666792881484E-2"/>
    <n v="13.205"/>
    <n v="0.75"/>
  </r>
  <r>
    <x v="58"/>
    <n v="1.76"/>
    <x v="1"/>
    <x v="1"/>
    <x v="1"/>
    <x v="0"/>
    <x v="0"/>
    <n v="0.15658362989323843"/>
    <n v="5.62"/>
    <n v="0.88"/>
  </r>
  <r>
    <x v="59"/>
    <n v="6.73"/>
    <x v="1"/>
    <x v="0"/>
    <x v="1"/>
    <x v="0"/>
    <x v="2"/>
    <n v="0.13942407292314066"/>
    <n v="12.067500000000001"/>
    <n v="1.6825000000000001"/>
  </r>
  <r>
    <x v="21"/>
    <n v="3.21"/>
    <x v="1"/>
    <x v="1"/>
    <x v="1"/>
    <x v="0"/>
    <x v="0"/>
    <n v="0.15820601281419419"/>
    <n v="10.145"/>
    <n v="1.605"/>
  </r>
  <r>
    <x v="60"/>
    <n v="2"/>
    <x v="1"/>
    <x v="1"/>
    <x v="1"/>
    <x v="0"/>
    <x v="0"/>
    <n v="0.14482259232440259"/>
    <n v="6.9050000000000002"/>
    <n v="1"/>
  </r>
  <r>
    <x v="61"/>
    <n v="1.98"/>
    <x v="1"/>
    <x v="1"/>
    <x v="1"/>
    <x v="0"/>
    <x v="0"/>
    <n v="0.17967332123411978"/>
    <n v="5.51"/>
    <n v="0.99"/>
  </r>
  <r>
    <x v="45"/>
    <n v="3.76"/>
    <x v="1"/>
    <x v="1"/>
    <x v="1"/>
    <x v="0"/>
    <x v="2"/>
    <n v="0.20557681793329688"/>
    <n v="4.5724999999999998"/>
    <n v="0.94"/>
  </r>
  <r>
    <x v="62"/>
    <n v="2.64"/>
    <x v="1"/>
    <x v="0"/>
    <x v="1"/>
    <x v="0"/>
    <x v="1"/>
    <n v="0.15008527572484368"/>
    <n v="5.8633333333333333"/>
    <n v="0.88"/>
  </r>
  <r>
    <x v="63"/>
    <n v="3.15"/>
    <x v="1"/>
    <x v="0"/>
    <x v="1"/>
    <x v="0"/>
    <x v="1"/>
    <n v="0.15687250996015936"/>
    <n v="6.6933333333333325"/>
    <n v="1.05"/>
  </r>
  <r>
    <x v="64"/>
    <n v="2.4700000000000002"/>
    <x v="0"/>
    <x v="0"/>
    <x v="1"/>
    <x v="0"/>
    <x v="0"/>
    <n v="0.1501519756838906"/>
    <n v="8.2249999999999996"/>
    <n v="1.2350000000000001"/>
  </r>
  <r>
    <x v="65"/>
    <n v="1"/>
    <x v="0"/>
    <x v="1"/>
    <x v="1"/>
    <x v="0"/>
    <x v="3"/>
    <n v="0.32573289902280134"/>
    <n v="3.07"/>
    <n v="1"/>
  </r>
  <r>
    <x v="66"/>
    <n v="2.0099999999999998"/>
    <x v="1"/>
    <x v="0"/>
    <x v="1"/>
    <x v="0"/>
    <x v="0"/>
    <n v="9.9357390014829447E-2"/>
    <n v="10.115"/>
    <n v="1.0049999999999999"/>
  </r>
  <r>
    <x v="67"/>
    <n v="2.09"/>
    <x v="1"/>
    <x v="1"/>
    <x v="1"/>
    <x v="0"/>
    <x v="0"/>
    <n v="0.13924050632911392"/>
    <n v="7.5049999999999999"/>
    <n v="1.0449999999999999"/>
  </r>
  <r>
    <x v="68"/>
    <n v="1.97"/>
    <x v="1"/>
    <x v="0"/>
    <x v="1"/>
    <x v="0"/>
    <x v="0"/>
    <n v="0.16389351081530781"/>
    <n v="6.01"/>
    <n v="0.98499999999999999"/>
  </r>
  <r>
    <x v="69"/>
    <n v="3"/>
    <x v="0"/>
    <x v="0"/>
    <x v="1"/>
    <x v="0"/>
    <x v="1"/>
    <n v="0.1757469244288225"/>
    <n v="5.69"/>
    <n v="1"/>
  </r>
  <r>
    <x v="70"/>
    <n v="3.14"/>
    <x v="0"/>
    <x v="1"/>
    <x v="1"/>
    <x v="0"/>
    <x v="0"/>
    <n v="0.11690245718540582"/>
    <n v="13.43"/>
    <n v="1.57"/>
  </r>
  <r>
    <x v="71"/>
    <n v="5"/>
    <x v="0"/>
    <x v="1"/>
    <x v="1"/>
    <x v="0"/>
    <x v="0"/>
    <n v="0.19778481012658228"/>
    <n v="12.64"/>
    <n v="2.5"/>
  </r>
  <r>
    <x v="72"/>
    <n v="2.2000000000000002"/>
    <x v="0"/>
    <x v="0"/>
    <x v="1"/>
    <x v="0"/>
    <x v="0"/>
    <n v="0.14935505770536323"/>
    <n v="7.3650000000000002"/>
    <n v="1.1000000000000001"/>
  </r>
  <r>
    <x v="73"/>
    <n v="1.25"/>
    <x v="1"/>
    <x v="0"/>
    <x v="1"/>
    <x v="0"/>
    <x v="0"/>
    <n v="0.11893434823977164"/>
    <n v="5.2549999999999999"/>
    <n v="0.625"/>
  </r>
  <r>
    <x v="20"/>
    <n v="3.08"/>
    <x v="1"/>
    <x v="1"/>
    <x v="1"/>
    <x v="0"/>
    <x v="0"/>
    <n v="0.171875"/>
    <n v="8.9600000000000009"/>
    <n v="1.54"/>
  </r>
  <r>
    <x v="74"/>
    <n v="4"/>
    <x v="1"/>
    <x v="0"/>
    <x v="2"/>
    <x v="1"/>
    <x v="2"/>
    <n v="0.14705882352941177"/>
    <n v="6.8"/>
    <n v="1"/>
  </r>
  <r>
    <x v="75"/>
    <n v="3"/>
    <x v="1"/>
    <x v="0"/>
    <x v="2"/>
    <x v="1"/>
    <x v="0"/>
    <n v="0.13181019332161686"/>
    <n v="11.38"/>
    <n v="1.5"/>
  </r>
  <r>
    <x v="76"/>
    <n v="2.71"/>
    <x v="1"/>
    <x v="0"/>
    <x v="2"/>
    <x v="1"/>
    <x v="0"/>
    <n v="0.15673799884326201"/>
    <n v="8.6449999999999996"/>
    <n v="1.355"/>
  </r>
  <r>
    <x v="77"/>
    <n v="3"/>
    <x v="1"/>
    <x v="1"/>
    <x v="2"/>
    <x v="1"/>
    <x v="0"/>
    <n v="0.15432098765432098"/>
    <n v="9.7200000000000006"/>
    <n v="1.5"/>
  </r>
  <r>
    <x v="78"/>
    <n v="3.4"/>
    <x v="1"/>
    <x v="0"/>
    <x v="2"/>
    <x v="1"/>
    <x v="0"/>
    <n v="0.20408163265306123"/>
    <n v="8.33"/>
    <n v="1.7"/>
  </r>
  <r>
    <x v="79"/>
    <n v="1.83"/>
    <x v="0"/>
    <x v="0"/>
    <x v="2"/>
    <x v="1"/>
    <x v="3"/>
    <n v="0.18172790466732869"/>
    <n v="10.07"/>
    <n v="1.83"/>
  </r>
  <r>
    <x v="80"/>
    <n v="5"/>
    <x v="1"/>
    <x v="1"/>
    <x v="2"/>
    <x v="1"/>
    <x v="0"/>
    <n v="0.15299877600979192"/>
    <n v="16.34"/>
    <n v="2.5"/>
  </r>
  <r>
    <x v="81"/>
    <n v="2.0299999999999998"/>
    <x v="1"/>
    <x v="0"/>
    <x v="2"/>
    <x v="1"/>
    <x v="0"/>
    <n v="0.12703379224030037"/>
    <n v="7.99"/>
    <n v="1.0149999999999999"/>
  </r>
  <r>
    <x v="82"/>
    <n v="5.17"/>
    <x v="0"/>
    <x v="0"/>
    <x v="2"/>
    <x v="1"/>
    <x v="2"/>
    <n v="0.14843525696238874"/>
    <n v="8.7074999999999996"/>
    <n v="1.2925"/>
  </r>
  <r>
    <x v="83"/>
    <n v="2"/>
    <x v="1"/>
    <x v="0"/>
    <x v="2"/>
    <x v="1"/>
    <x v="0"/>
    <n v="0.15349194167306218"/>
    <n v="6.5149999999999997"/>
    <n v="1"/>
  </r>
  <r>
    <x v="84"/>
    <n v="4"/>
    <x v="1"/>
    <x v="0"/>
    <x v="2"/>
    <x v="1"/>
    <x v="0"/>
    <n v="0.21881838074398249"/>
    <n v="9.14"/>
    <n v="2"/>
  </r>
  <r>
    <x v="85"/>
    <n v="5.85"/>
    <x v="1"/>
    <x v="0"/>
    <x v="2"/>
    <x v="1"/>
    <x v="0"/>
    <n v="0.23674625657628487"/>
    <n v="12.355"/>
    <n v="2.9249999999999998"/>
  </r>
  <r>
    <x v="86"/>
    <n v="3"/>
    <x v="1"/>
    <x v="0"/>
    <x v="2"/>
    <x v="1"/>
    <x v="0"/>
    <n v="0.14177693761814744"/>
    <n v="10.58"/>
    <n v="1.5"/>
  </r>
  <r>
    <x v="87"/>
    <n v="3"/>
    <x v="1"/>
    <x v="1"/>
    <x v="3"/>
    <x v="0"/>
    <x v="0"/>
    <n v="0.10355540214014498"/>
    <n v="14.484999999999999"/>
    <n v="1.5"/>
  </r>
  <r>
    <x v="88"/>
    <n v="3.5"/>
    <x v="1"/>
    <x v="0"/>
    <x v="3"/>
    <x v="0"/>
    <x v="0"/>
    <n v="0.15562472209871056"/>
    <n v="11.244999999999999"/>
    <n v="1.75"/>
  </r>
  <r>
    <x v="89"/>
    <n v="1"/>
    <x v="0"/>
    <x v="1"/>
    <x v="3"/>
    <x v="0"/>
    <x v="0"/>
    <n v="0.17391304347826086"/>
    <n v="2.875"/>
    <n v="0.5"/>
  </r>
  <r>
    <x v="90"/>
    <n v="4.3"/>
    <x v="0"/>
    <x v="1"/>
    <x v="3"/>
    <x v="0"/>
    <x v="0"/>
    <n v="0.26348039215686275"/>
    <n v="8.16"/>
    <n v="2.15"/>
  </r>
  <r>
    <x v="91"/>
    <n v="3.25"/>
    <x v="0"/>
    <x v="0"/>
    <x v="3"/>
    <x v="0"/>
    <x v="0"/>
    <n v="0.14285714285714285"/>
    <n v="11.375"/>
    <n v="1.625"/>
  </r>
  <r>
    <x v="92"/>
    <n v="4.7300000000000004"/>
    <x v="1"/>
    <x v="1"/>
    <x v="3"/>
    <x v="0"/>
    <x v="2"/>
    <n v="0.1177495643515061"/>
    <n v="10.0425"/>
    <n v="1.1825000000000001"/>
  </r>
  <r>
    <x v="93"/>
    <n v="4"/>
    <x v="1"/>
    <x v="1"/>
    <x v="3"/>
    <x v="0"/>
    <x v="0"/>
    <n v="0.14662756598240467"/>
    <n v="13.64"/>
    <n v="2"/>
  </r>
  <r>
    <x v="94"/>
    <n v="1.5"/>
    <x v="1"/>
    <x v="1"/>
    <x v="3"/>
    <x v="0"/>
    <x v="0"/>
    <n v="0.12468827930174564"/>
    <n v="6.0149999999999997"/>
    <n v="0.75"/>
  </r>
  <r>
    <x v="2"/>
    <n v="3"/>
    <x v="1"/>
    <x v="1"/>
    <x v="3"/>
    <x v="0"/>
    <x v="0"/>
    <n v="0.1427891480247501"/>
    <n v="10.505000000000001"/>
    <n v="1.5"/>
  </r>
  <r>
    <x v="95"/>
    <n v="1.5"/>
    <x v="1"/>
    <x v="0"/>
    <x v="3"/>
    <x v="0"/>
    <x v="0"/>
    <n v="0.1203852327447833"/>
    <n v="6.23"/>
    <n v="0.75"/>
  </r>
  <r>
    <x v="96"/>
    <n v="2.5"/>
    <x v="0"/>
    <x v="1"/>
    <x v="3"/>
    <x v="0"/>
    <x v="0"/>
    <n v="0.22026431718061676"/>
    <n v="5.6749999999999998"/>
    <n v="1.25"/>
  </r>
  <r>
    <x v="97"/>
    <n v="3"/>
    <x v="0"/>
    <x v="1"/>
    <x v="3"/>
    <x v="0"/>
    <x v="0"/>
    <n v="0.19505851755526657"/>
    <n v="7.69"/>
    <n v="1.5"/>
  </r>
  <r>
    <x v="98"/>
    <n v="2.5"/>
    <x v="0"/>
    <x v="1"/>
    <x v="1"/>
    <x v="0"/>
    <x v="1"/>
    <n v="5.6433408577878111E-2"/>
    <n v="14.766666666666666"/>
    <n v="0.83333333333333337"/>
  </r>
  <r>
    <x v="99"/>
    <n v="3.48"/>
    <x v="0"/>
    <x v="1"/>
    <x v="1"/>
    <x v="0"/>
    <x v="0"/>
    <n v="0.15521855486173058"/>
    <n v="11.21"/>
    <n v="1.74"/>
  </r>
  <r>
    <x v="100"/>
    <n v="4.08"/>
    <x v="0"/>
    <x v="0"/>
    <x v="1"/>
    <x v="0"/>
    <x v="0"/>
    <n v="0.19502868068833651"/>
    <n v="10.46"/>
    <n v="2.04"/>
  </r>
  <r>
    <x v="101"/>
    <n v="1.64"/>
    <x v="1"/>
    <x v="1"/>
    <x v="1"/>
    <x v="0"/>
    <x v="0"/>
    <n v="0.10677083333333333"/>
    <n v="7.68"/>
    <n v="0.82"/>
  </r>
  <r>
    <x v="102"/>
    <n v="4.0599999999999996"/>
    <x v="1"/>
    <x v="1"/>
    <x v="1"/>
    <x v="0"/>
    <x v="0"/>
    <n v="0.19814543679843827"/>
    <n v="10.244999999999999"/>
    <n v="2.0299999999999998"/>
  </r>
  <r>
    <x v="103"/>
    <n v="4.29"/>
    <x v="1"/>
    <x v="1"/>
    <x v="1"/>
    <x v="0"/>
    <x v="0"/>
    <n v="0.17017056723522411"/>
    <n v="12.605"/>
    <n v="2.145"/>
  </r>
  <r>
    <x v="104"/>
    <n v="3.76"/>
    <x v="1"/>
    <x v="0"/>
    <x v="1"/>
    <x v="0"/>
    <x v="0"/>
    <n v="0.20614035087719298"/>
    <n v="9.1199999999999992"/>
    <n v="1.88"/>
  </r>
  <r>
    <x v="105"/>
    <n v="4"/>
    <x v="0"/>
    <x v="1"/>
    <x v="1"/>
    <x v="0"/>
    <x v="0"/>
    <n v="0.27952480782669459"/>
    <n v="7.1550000000000002"/>
    <n v="2"/>
  </r>
  <r>
    <x v="106"/>
    <n v="3"/>
    <x v="1"/>
    <x v="0"/>
    <x v="1"/>
    <x v="0"/>
    <x v="0"/>
    <n v="0.21428571428571427"/>
    <n v="7"/>
    <n v="1.5"/>
  </r>
  <r>
    <x v="107"/>
    <n v="1"/>
    <x v="0"/>
    <x v="0"/>
    <x v="1"/>
    <x v="0"/>
    <x v="3"/>
    <n v="0.13793103448275862"/>
    <n v="7.25"/>
    <n v="1"/>
  </r>
  <r>
    <x v="108"/>
    <n v="4"/>
    <x v="1"/>
    <x v="0"/>
    <x v="0"/>
    <x v="0"/>
    <x v="1"/>
    <n v="0.10506960861570791"/>
    <n v="12.69"/>
    <n v="1.3333333333333333"/>
  </r>
  <r>
    <x v="109"/>
    <n v="2.5499999999999998"/>
    <x v="1"/>
    <x v="0"/>
    <x v="0"/>
    <x v="0"/>
    <x v="0"/>
    <n v="0.10647181628392484"/>
    <n v="11.975"/>
    <n v="1.2749999999999999"/>
  </r>
  <r>
    <x v="110"/>
    <n v="4"/>
    <x v="0"/>
    <x v="0"/>
    <x v="0"/>
    <x v="0"/>
    <x v="1"/>
    <n v="0.15558148580318942"/>
    <n v="8.57"/>
    <n v="1.3333333333333333"/>
  </r>
  <r>
    <x v="111"/>
    <n v="3.5"/>
    <x v="0"/>
    <x v="0"/>
    <x v="0"/>
    <x v="0"/>
    <x v="0"/>
    <n v="0.20219526285384173"/>
    <n v="8.6549999999999994"/>
    <n v="1.75"/>
  </r>
  <r>
    <x v="112"/>
    <n v="5.07"/>
    <x v="1"/>
    <x v="0"/>
    <x v="0"/>
    <x v="0"/>
    <x v="2"/>
    <n v="0.1693952555963916"/>
    <n v="7.4824999999999999"/>
    <n v="1.2675000000000001"/>
  </r>
  <r>
    <x v="113"/>
    <n v="1.5"/>
    <x v="0"/>
    <x v="0"/>
    <x v="2"/>
    <x v="1"/>
    <x v="0"/>
    <n v="0.14084507042253522"/>
    <n v="5.3250000000000002"/>
    <n v="0.75"/>
  </r>
  <r>
    <x v="114"/>
    <n v="1.8"/>
    <x v="0"/>
    <x v="0"/>
    <x v="2"/>
    <x v="1"/>
    <x v="0"/>
    <n v="0.14481094127111827"/>
    <n v="6.2149999999999999"/>
    <n v="0.9"/>
  </r>
  <r>
    <x v="115"/>
    <n v="2.92"/>
    <x v="0"/>
    <x v="0"/>
    <x v="2"/>
    <x v="1"/>
    <x v="2"/>
    <n v="0.1212624584717608"/>
    <n v="6.02"/>
    <n v="0.73"/>
  </r>
  <r>
    <x v="116"/>
    <n v="2.31"/>
    <x v="1"/>
    <x v="0"/>
    <x v="2"/>
    <x v="1"/>
    <x v="0"/>
    <n v="0.19760479041916168"/>
    <n v="5.8449999999999998"/>
    <n v="1.155"/>
  </r>
  <r>
    <x v="117"/>
    <n v="1.68"/>
    <x v="0"/>
    <x v="0"/>
    <x v="2"/>
    <x v="1"/>
    <x v="0"/>
    <n v="0.12518628912071533"/>
    <n v="6.71"/>
    <n v="0.84"/>
  </r>
  <r>
    <x v="118"/>
    <n v="2.5"/>
    <x v="1"/>
    <x v="0"/>
    <x v="2"/>
    <x v="1"/>
    <x v="0"/>
    <n v="0.17531556802244039"/>
    <n v="7.13"/>
    <n v="1.25"/>
  </r>
  <r>
    <x v="119"/>
    <n v="2"/>
    <x v="1"/>
    <x v="0"/>
    <x v="2"/>
    <x v="1"/>
    <x v="0"/>
    <n v="0.12539184952978058"/>
    <n v="7.9749999999999996"/>
    <n v="1"/>
  </r>
  <r>
    <x v="120"/>
    <n v="2.52"/>
    <x v="0"/>
    <x v="0"/>
    <x v="2"/>
    <x v="1"/>
    <x v="0"/>
    <n v="0.20192307692307693"/>
    <n v="6.24"/>
    <n v="1.26"/>
  </r>
  <r>
    <x v="121"/>
    <n v="4.2"/>
    <x v="0"/>
    <x v="0"/>
    <x v="2"/>
    <x v="1"/>
    <x v="4"/>
    <n v="0.14093959731543623"/>
    <n v="4.9666666666666668"/>
    <n v="0.70000000000000007"/>
  </r>
  <r>
    <x v="122"/>
    <n v="1.48"/>
    <x v="1"/>
    <x v="0"/>
    <x v="2"/>
    <x v="1"/>
    <x v="0"/>
    <n v="0.17370892018779344"/>
    <n v="4.26"/>
    <n v="0.74"/>
  </r>
  <r>
    <x v="123"/>
    <n v="2"/>
    <x v="0"/>
    <x v="0"/>
    <x v="2"/>
    <x v="1"/>
    <x v="0"/>
    <n v="0.13774104683195593"/>
    <n v="7.26"/>
    <n v="1"/>
  </r>
  <r>
    <x v="124"/>
    <n v="2"/>
    <x v="0"/>
    <x v="0"/>
    <x v="2"/>
    <x v="1"/>
    <x v="0"/>
    <n v="0.17574692442882248"/>
    <n v="5.69"/>
    <n v="1"/>
  </r>
  <r>
    <x v="125"/>
    <n v="2.1800000000000002"/>
    <x v="1"/>
    <x v="0"/>
    <x v="2"/>
    <x v="1"/>
    <x v="1"/>
    <n v="9.5530236634531113E-2"/>
    <n v="7.6066666666666665"/>
    <n v="0.72666666666666668"/>
  </r>
  <r>
    <x v="126"/>
    <n v="1.5"/>
    <x v="1"/>
    <x v="0"/>
    <x v="2"/>
    <x v="1"/>
    <x v="0"/>
    <n v="7.8616352201257872E-2"/>
    <n v="9.5399999999999991"/>
    <n v="0.75"/>
  </r>
  <r>
    <x v="127"/>
    <n v="2.83"/>
    <x v="0"/>
    <x v="0"/>
    <x v="2"/>
    <x v="1"/>
    <x v="0"/>
    <n v="0.13961519486926494"/>
    <n v="10.135"/>
    <n v="1.415"/>
  </r>
  <r>
    <x v="128"/>
    <n v="1.5"/>
    <x v="0"/>
    <x v="0"/>
    <x v="2"/>
    <x v="1"/>
    <x v="0"/>
    <n v="0.13428827215756492"/>
    <n v="5.585"/>
    <n v="0.75"/>
  </r>
  <r>
    <x v="129"/>
    <n v="2"/>
    <x v="0"/>
    <x v="0"/>
    <x v="2"/>
    <x v="1"/>
    <x v="0"/>
    <n v="0.16313213703099511"/>
    <n v="6.13"/>
    <n v="1"/>
  </r>
  <r>
    <x v="130"/>
    <n v="3.25"/>
    <x v="0"/>
    <x v="0"/>
    <x v="2"/>
    <x v="1"/>
    <x v="0"/>
    <n v="0.17798466593647316"/>
    <n v="9.1300000000000008"/>
    <n v="1.625"/>
  </r>
  <r>
    <x v="131"/>
    <n v="1.25"/>
    <x v="0"/>
    <x v="0"/>
    <x v="2"/>
    <x v="1"/>
    <x v="0"/>
    <n v="0.14688601645123384"/>
    <n v="4.2549999999999999"/>
    <n v="0.625"/>
  </r>
  <r>
    <x v="16"/>
    <n v="2"/>
    <x v="0"/>
    <x v="0"/>
    <x v="2"/>
    <x v="1"/>
    <x v="0"/>
    <n v="0.1936108422071636"/>
    <n v="5.165"/>
    <n v="1"/>
  </r>
  <r>
    <x v="132"/>
    <n v="2"/>
    <x v="0"/>
    <x v="0"/>
    <x v="2"/>
    <x v="1"/>
    <x v="0"/>
    <n v="0.14134275618374559"/>
    <n v="7.0750000000000002"/>
    <n v="1"/>
  </r>
  <r>
    <x v="133"/>
    <n v="2"/>
    <x v="1"/>
    <x v="1"/>
    <x v="2"/>
    <x v="1"/>
    <x v="0"/>
    <n v="0.125"/>
    <n v="8"/>
    <n v="1"/>
  </r>
  <r>
    <x v="134"/>
    <n v="2.75"/>
    <x v="0"/>
    <x v="0"/>
    <x v="2"/>
    <x v="1"/>
    <x v="0"/>
    <n v="0.20896656534954408"/>
    <n v="6.58"/>
    <n v="1.375"/>
  </r>
  <r>
    <x v="135"/>
    <n v="3.5"/>
    <x v="0"/>
    <x v="0"/>
    <x v="2"/>
    <x v="1"/>
    <x v="0"/>
    <n v="0.20034344590726963"/>
    <n v="8.7349999999999994"/>
    <n v="1.75"/>
  </r>
  <r>
    <x v="136"/>
    <n v="6.7"/>
    <x v="1"/>
    <x v="0"/>
    <x v="2"/>
    <x v="1"/>
    <x v="4"/>
    <n v="0.19533527696793004"/>
    <n v="5.7166666666666659"/>
    <n v="1.1166666666666667"/>
  </r>
  <r>
    <x v="137"/>
    <n v="5"/>
    <x v="1"/>
    <x v="0"/>
    <x v="2"/>
    <x v="1"/>
    <x v="5"/>
    <n v="0.12138868657441128"/>
    <n v="8.2379999999999995"/>
    <n v="1"/>
  </r>
  <r>
    <x v="138"/>
    <n v="5"/>
    <x v="0"/>
    <x v="0"/>
    <x v="2"/>
    <x v="1"/>
    <x v="4"/>
    <n v="0.18484288354898337"/>
    <n v="4.5083333333333337"/>
    <n v="0.83333333333333337"/>
  </r>
  <r>
    <x v="139"/>
    <n v="2.2999999999999998"/>
    <x v="0"/>
    <x v="0"/>
    <x v="2"/>
    <x v="1"/>
    <x v="0"/>
    <n v="0.13998782714546559"/>
    <n v="8.2149999999999999"/>
    <n v="1.1499999999999999"/>
  </r>
  <r>
    <x v="140"/>
    <n v="1.5"/>
    <x v="0"/>
    <x v="0"/>
    <x v="2"/>
    <x v="1"/>
    <x v="0"/>
    <n v="0.17964071856287425"/>
    <n v="4.1749999999999998"/>
    <n v="0.75"/>
  </r>
  <r>
    <x v="141"/>
    <n v="1.36"/>
    <x v="0"/>
    <x v="0"/>
    <x v="2"/>
    <x v="1"/>
    <x v="1"/>
    <n v="7.2961373390557943E-2"/>
    <n v="6.2133333333333338"/>
    <n v="0.45333333333333337"/>
  </r>
  <r>
    <x v="142"/>
    <n v="1.63"/>
    <x v="0"/>
    <x v="0"/>
    <x v="2"/>
    <x v="1"/>
    <x v="0"/>
    <n v="0.13732097725358045"/>
    <n v="5.9349999999999996"/>
    <n v="0.81499999999999995"/>
  </r>
  <r>
    <x v="143"/>
    <n v="1.73"/>
    <x v="1"/>
    <x v="0"/>
    <x v="2"/>
    <x v="1"/>
    <x v="0"/>
    <n v="0.17689161554192229"/>
    <n v="4.8899999999999997"/>
    <n v="0.86499999999999999"/>
  </r>
  <r>
    <x v="144"/>
    <n v="2"/>
    <x v="1"/>
    <x v="0"/>
    <x v="2"/>
    <x v="1"/>
    <x v="0"/>
    <n v="0.26631158455392812"/>
    <n v="3.7549999999999999"/>
    <n v="1"/>
  </r>
  <r>
    <x v="145"/>
    <n v="2.5"/>
    <x v="1"/>
    <x v="0"/>
    <x v="0"/>
    <x v="0"/>
    <x v="0"/>
    <n v="0.17768301350390903"/>
    <n v="7.0350000000000001"/>
    <n v="1.25"/>
  </r>
  <r>
    <x v="146"/>
    <n v="2"/>
    <x v="1"/>
    <x v="0"/>
    <x v="0"/>
    <x v="0"/>
    <x v="0"/>
    <n v="0.15232292460015232"/>
    <n v="6.5650000000000004"/>
    <n v="1"/>
  </r>
  <r>
    <x v="147"/>
    <n v="2.74"/>
    <x v="1"/>
    <x v="0"/>
    <x v="0"/>
    <x v="0"/>
    <x v="1"/>
    <n v="0.15874855156431053"/>
    <n v="5.7533333333333339"/>
    <n v="0.91333333333333344"/>
  </r>
  <r>
    <x v="148"/>
    <n v="2"/>
    <x v="1"/>
    <x v="0"/>
    <x v="0"/>
    <x v="0"/>
    <x v="2"/>
    <n v="8.1466395112016296E-2"/>
    <n v="6.1375000000000002"/>
    <n v="0.5"/>
  </r>
  <r>
    <x v="149"/>
    <n v="2"/>
    <x v="1"/>
    <x v="0"/>
    <x v="0"/>
    <x v="0"/>
    <x v="2"/>
    <n v="0.10116337885685382"/>
    <n v="4.9424999999999999"/>
    <n v="0.5"/>
  </r>
  <r>
    <x v="150"/>
    <n v="5.14"/>
    <x v="0"/>
    <x v="0"/>
    <x v="0"/>
    <x v="0"/>
    <x v="5"/>
    <n v="0.17219430485762141"/>
    <n v="5.9700000000000006"/>
    <n v="1.028"/>
  </r>
  <r>
    <x v="151"/>
    <n v="5"/>
    <x v="1"/>
    <x v="0"/>
    <x v="0"/>
    <x v="0"/>
    <x v="4"/>
    <n v="0.10379904504878555"/>
    <n v="8.0283333333333342"/>
    <n v="0.83333333333333337"/>
  </r>
  <r>
    <x v="152"/>
    <n v="3.75"/>
    <x v="0"/>
    <x v="0"/>
    <x v="0"/>
    <x v="0"/>
    <x v="2"/>
    <n v="0.15"/>
    <n v="6.25"/>
    <n v="0.9375"/>
  </r>
  <r>
    <x v="153"/>
    <n v="2.61"/>
    <x v="0"/>
    <x v="0"/>
    <x v="0"/>
    <x v="0"/>
    <x v="0"/>
    <n v="0.19492158327109782"/>
    <n v="6.6950000000000003"/>
    <n v="1.3049999999999999"/>
  </r>
  <r>
    <x v="154"/>
    <n v="2"/>
    <x v="1"/>
    <x v="0"/>
    <x v="0"/>
    <x v="0"/>
    <x v="2"/>
    <n v="0.12128562765312312"/>
    <n v="4.1224999999999996"/>
    <n v="0.5"/>
  </r>
  <r>
    <x v="155"/>
    <n v="3.5"/>
    <x v="1"/>
    <x v="0"/>
    <x v="0"/>
    <x v="0"/>
    <x v="2"/>
    <n v="0.16279069767441862"/>
    <n v="5.375"/>
    <n v="0.875"/>
  </r>
  <r>
    <x v="156"/>
    <n v="2.5"/>
    <x v="1"/>
    <x v="0"/>
    <x v="0"/>
    <x v="0"/>
    <x v="0"/>
    <n v="0.19747235387045814"/>
    <n v="6.33"/>
    <n v="1.25"/>
  </r>
  <r>
    <x v="157"/>
    <n v="2"/>
    <x v="0"/>
    <x v="0"/>
    <x v="0"/>
    <x v="0"/>
    <x v="1"/>
    <n v="0.12338062924120913"/>
    <n v="5.4033333333333333"/>
    <n v="0.66666666666666663"/>
  </r>
  <r>
    <x v="60"/>
    <n v="2"/>
    <x v="1"/>
    <x v="0"/>
    <x v="0"/>
    <x v="0"/>
    <x v="0"/>
    <n v="0.14482259232440259"/>
    <n v="6.9050000000000002"/>
    <n v="1"/>
  </r>
  <r>
    <x v="158"/>
    <n v="3"/>
    <x v="0"/>
    <x v="1"/>
    <x v="0"/>
    <x v="0"/>
    <x v="0"/>
    <n v="0.17133066818960593"/>
    <n v="8.7550000000000008"/>
    <n v="1.5"/>
  </r>
  <r>
    <x v="159"/>
    <n v="3.48"/>
    <x v="1"/>
    <x v="0"/>
    <x v="0"/>
    <x v="0"/>
    <x v="1"/>
    <n v="0.14192495921696574"/>
    <n v="8.1733333333333338"/>
    <n v="1.1599999999999999"/>
  </r>
  <r>
    <x v="160"/>
    <n v="2.2400000000000002"/>
    <x v="1"/>
    <x v="0"/>
    <x v="0"/>
    <x v="0"/>
    <x v="0"/>
    <n v="0.10789980732177264"/>
    <n v="10.38"/>
    <n v="1.1200000000000001"/>
  </r>
  <r>
    <x v="161"/>
    <n v="4.5"/>
    <x v="1"/>
    <x v="0"/>
    <x v="0"/>
    <x v="0"/>
    <x v="2"/>
    <n v="0.14191106906338694"/>
    <n v="7.9275000000000002"/>
    <n v="1.125"/>
  </r>
  <r>
    <x v="162"/>
    <n v="1.61"/>
    <x v="0"/>
    <x v="1"/>
    <x v="1"/>
    <x v="0"/>
    <x v="0"/>
    <n v="0.15203021718602455"/>
    <n v="5.2949999999999999"/>
    <n v="0.80500000000000005"/>
  </r>
  <r>
    <x v="163"/>
    <n v="2"/>
    <x v="0"/>
    <x v="1"/>
    <x v="1"/>
    <x v="0"/>
    <x v="0"/>
    <n v="0.18814675446848542"/>
    <n v="5.3150000000000004"/>
    <n v="1"/>
  </r>
  <r>
    <x v="164"/>
    <n v="10"/>
    <x v="1"/>
    <x v="1"/>
    <x v="1"/>
    <x v="0"/>
    <x v="1"/>
    <n v="0.19681165124975397"/>
    <n v="16.936666666666667"/>
    <n v="3.3333333333333335"/>
  </r>
  <r>
    <x v="165"/>
    <n v="3.16"/>
    <x v="1"/>
    <x v="1"/>
    <x v="1"/>
    <x v="0"/>
    <x v="0"/>
    <n v="0.19987349778621127"/>
    <n v="7.9050000000000002"/>
    <n v="1.58"/>
  </r>
  <r>
    <x v="107"/>
    <n v="5.15"/>
    <x v="1"/>
    <x v="1"/>
    <x v="0"/>
    <x v="0"/>
    <x v="0"/>
    <n v="0.71034482758620698"/>
    <n v="3.625"/>
    <n v="2.5750000000000002"/>
  </r>
  <r>
    <x v="166"/>
    <n v="3.18"/>
    <x v="1"/>
    <x v="1"/>
    <x v="0"/>
    <x v="0"/>
    <x v="0"/>
    <n v="9.9843014128728411E-2"/>
    <n v="15.925000000000001"/>
    <n v="1.59"/>
  </r>
  <r>
    <x v="167"/>
    <n v="4"/>
    <x v="1"/>
    <x v="1"/>
    <x v="0"/>
    <x v="0"/>
    <x v="0"/>
    <n v="0.23781212841854935"/>
    <n v="8.41"/>
    <n v="2"/>
  </r>
  <r>
    <x v="168"/>
    <n v="3.11"/>
    <x v="1"/>
    <x v="1"/>
    <x v="0"/>
    <x v="0"/>
    <x v="0"/>
    <n v="9.4528875379939203E-2"/>
    <n v="16.45"/>
    <n v="1.5549999999999999"/>
  </r>
  <r>
    <x v="169"/>
    <n v="2"/>
    <x v="1"/>
    <x v="1"/>
    <x v="0"/>
    <x v="0"/>
    <x v="0"/>
    <n v="0.11179429849077696"/>
    <n v="8.9450000000000003"/>
    <n v="1"/>
  </r>
  <r>
    <x v="170"/>
    <n v="2"/>
    <x v="1"/>
    <x v="1"/>
    <x v="0"/>
    <x v="0"/>
    <x v="0"/>
    <n v="0.13812154696132597"/>
    <n v="7.24"/>
    <n v="1"/>
  </r>
  <r>
    <x v="171"/>
    <n v="4"/>
    <x v="0"/>
    <x v="1"/>
    <x v="0"/>
    <x v="0"/>
    <x v="0"/>
    <n v="0.41666666666666669"/>
    <n v="4.8"/>
    <n v="2"/>
  </r>
  <r>
    <x v="172"/>
    <n v="3.55"/>
    <x v="1"/>
    <x v="1"/>
    <x v="0"/>
    <x v="0"/>
    <x v="0"/>
    <n v="0.102512272596015"/>
    <n v="17.315000000000001"/>
    <n v="1.7749999999999999"/>
  </r>
  <r>
    <x v="173"/>
    <n v="3.68"/>
    <x v="1"/>
    <x v="1"/>
    <x v="0"/>
    <x v="0"/>
    <x v="2"/>
    <n v="0.10620490620490622"/>
    <n v="8.6624999999999996"/>
    <n v="0.92"/>
  </r>
  <r>
    <x v="174"/>
    <n v="5.65"/>
    <x v="1"/>
    <x v="1"/>
    <x v="0"/>
    <x v="0"/>
    <x v="0"/>
    <n v="0.24217745392198889"/>
    <n v="11.664999999999999"/>
    <n v="2.8250000000000002"/>
  </r>
  <r>
    <x v="175"/>
    <n v="3.5"/>
    <x v="1"/>
    <x v="1"/>
    <x v="0"/>
    <x v="0"/>
    <x v="1"/>
    <n v="7.7177508269018744E-2"/>
    <n v="15.116666666666667"/>
    <n v="1.1666666666666667"/>
  </r>
  <r>
    <x v="176"/>
    <n v="6.5"/>
    <x v="1"/>
    <x v="1"/>
    <x v="0"/>
    <x v="0"/>
    <x v="2"/>
    <n v="0.28053517479499351"/>
    <n v="5.7925000000000004"/>
    <n v="1.625"/>
  </r>
  <r>
    <x v="177"/>
    <n v="3"/>
    <x v="1"/>
    <x v="1"/>
    <x v="0"/>
    <x v="0"/>
    <x v="0"/>
    <n v="7.3982737361282372E-2"/>
    <n v="20.274999999999999"/>
    <n v="1.5"/>
  </r>
  <r>
    <x v="33"/>
    <n v="5"/>
    <x v="1"/>
    <x v="0"/>
    <x v="0"/>
    <x v="0"/>
    <x v="5"/>
    <n v="0.24166263895601739"/>
    <n v="4.1379999999999999"/>
    <n v="1"/>
  </r>
  <r>
    <x v="178"/>
    <n v="3.5"/>
    <x v="0"/>
    <x v="1"/>
    <x v="0"/>
    <x v="0"/>
    <x v="1"/>
    <n v="0.1674641148325359"/>
    <n v="6.9666666666666659"/>
    <n v="1.1666666666666667"/>
  </r>
  <r>
    <x v="179"/>
    <n v="2"/>
    <x v="1"/>
    <x v="1"/>
    <x v="0"/>
    <x v="0"/>
    <x v="5"/>
    <n v="6.5659881812212731E-2"/>
    <n v="6.0920000000000005"/>
    <n v="0.4"/>
  </r>
  <r>
    <x v="180"/>
    <n v="3.5"/>
    <x v="0"/>
    <x v="1"/>
    <x v="0"/>
    <x v="0"/>
    <x v="1"/>
    <n v="0.1928374655647383"/>
    <n v="6.05"/>
    <n v="1.1666666666666667"/>
  </r>
  <r>
    <x v="181"/>
    <n v="4"/>
    <x v="1"/>
    <x v="1"/>
    <x v="0"/>
    <x v="0"/>
    <x v="1"/>
    <n v="0.17316017316017315"/>
    <n v="7.7"/>
    <n v="1.3333333333333333"/>
  </r>
  <r>
    <x v="182"/>
    <n v="1.5"/>
    <x v="1"/>
    <x v="1"/>
    <x v="0"/>
    <x v="0"/>
    <x v="0"/>
    <n v="9.5602294455066919E-2"/>
    <n v="7.8449999999999998"/>
    <n v="0.75"/>
  </r>
  <r>
    <x v="183"/>
    <n v="4.1900000000000004"/>
    <x v="0"/>
    <x v="1"/>
    <x v="2"/>
    <x v="1"/>
    <x v="0"/>
    <n v="0.21150933871781932"/>
    <n v="9.9049999999999994"/>
    <n v="2.0950000000000002"/>
  </r>
  <r>
    <x v="184"/>
    <n v="2.56"/>
    <x v="1"/>
    <x v="1"/>
    <x v="2"/>
    <x v="1"/>
    <x v="0"/>
    <n v="9.0014064697609003E-2"/>
    <n v="14.22"/>
    <n v="1.28"/>
  </r>
  <r>
    <x v="185"/>
    <n v="2.02"/>
    <x v="1"/>
    <x v="1"/>
    <x v="2"/>
    <x v="1"/>
    <x v="0"/>
    <n v="0.13049095607235142"/>
    <n v="7.74"/>
    <n v="1.01"/>
  </r>
  <r>
    <x v="186"/>
    <n v="4"/>
    <x v="1"/>
    <x v="1"/>
    <x v="2"/>
    <x v="1"/>
    <x v="0"/>
    <n v="0.24125452352231608"/>
    <n v="8.2899999999999991"/>
    <n v="2"/>
  </r>
  <r>
    <x v="187"/>
    <n v="1.44"/>
    <x v="1"/>
    <x v="0"/>
    <x v="2"/>
    <x v="1"/>
    <x v="0"/>
    <n v="0.19047619047619047"/>
    <n v="3.78"/>
    <n v="0.72"/>
  </r>
  <r>
    <x v="1"/>
    <n v="2"/>
    <x v="1"/>
    <x v="1"/>
    <x v="2"/>
    <x v="1"/>
    <x v="0"/>
    <n v="0.19342359767891684"/>
    <n v="5.17"/>
    <n v="1"/>
  </r>
  <r>
    <x v="188"/>
    <n v="5"/>
    <x v="0"/>
    <x v="1"/>
    <x v="2"/>
    <x v="1"/>
    <x v="2"/>
    <n v="0.11598237067965669"/>
    <n v="10.7775"/>
    <n v="1.25"/>
  </r>
  <r>
    <x v="189"/>
    <n v="2"/>
    <x v="0"/>
    <x v="1"/>
    <x v="2"/>
    <x v="1"/>
    <x v="0"/>
    <n v="0.15384615384615385"/>
    <n v="6.5"/>
    <n v="1"/>
  </r>
  <r>
    <x v="190"/>
    <n v="2"/>
    <x v="1"/>
    <x v="1"/>
    <x v="2"/>
    <x v="1"/>
    <x v="0"/>
    <n v="0.14803849000740193"/>
    <n v="6.7549999999999999"/>
    <n v="1"/>
  </r>
  <r>
    <x v="191"/>
    <n v="4"/>
    <x v="1"/>
    <x v="1"/>
    <x v="2"/>
    <x v="1"/>
    <x v="1"/>
    <n v="0.2137894174238375"/>
    <n v="6.2366666666666672"/>
    <n v="1.3333333333333333"/>
  </r>
  <r>
    <x v="192"/>
    <n v="2.0099999999999998"/>
    <x v="0"/>
    <x v="1"/>
    <x v="2"/>
    <x v="1"/>
    <x v="0"/>
    <n v="0.15777080062794346"/>
    <n v="6.37"/>
    <n v="1.0049999999999999"/>
  </r>
  <r>
    <x v="189"/>
    <n v="2"/>
    <x v="0"/>
    <x v="1"/>
    <x v="2"/>
    <x v="1"/>
    <x v="0"/>
    <n v="0.15384615384615385"/>
    <n v="6.5"/>
    <n v="1"/>
  </r>
  <r>
    <x v="193"/>
    <n v="2.5"/>
    <x v="0"/>
    <x v="1"/>
    <x v="2"/>
    <x v="1"/>
    <x v="0"/>
    <n v="0.15243902439024393"/>
    <n v="8.1999999999999993"/>
    <n v="1.25"/>
  </r>
  <r>
    <x v="194"/>
    <n v="4"/>
    <x v="1"/>
    <x v="1"/>
    <x v="2"/>
    <x v="1"/>
    <x v="2"/>
    <n v="0.19483682415976619"/>
    <n v="5.1325000000000003"/>
    <n v="1"/>
  </r>
  <r>
    <x v="195"/>
    <n v="3.23"/>
    <x v="0"/>
    <x v="1"/>
    <x v="2"/>
    <x v="1"/>
    <x v="1"/>
    <n v="0.19611414693381907"/>
    <n v="5.4899999999999993"/>
    <n v="1.0766666666666667"/>
  </r>
  <r>
    <x v="196"/>
    <n v="3.41"/>
    <x v="1"/>
    <x v="1"/>
    <x v="1"/>
    <x v="0"/>
    <x v="1"/>
    <n v="0.1282437006393381"/>
    <n v="8.8633333333333333"/>
    <n v="1.1366666666666667"/>
  </r>
  <r>
    <x v="197"/>
    <n v="3"/>
    <x v="1"/>
    <x v="1"/>
    <x v="1"/>
    <x v="0"/>
    <x v="2"/>
    <n v="7.7459333849728904E-2"/>
    <n v="9.6824999999999992"/>
    <n v="0.75"/>
  </r>
  <r>
    <x v="198"/>
    <n v="2.0299999999999998"/>
    <x v="1"/>
    <x v="1"/>
    <x v="1"/>
    <x v="0"/>
    <x v="0"/>
    <n v="8.3642356819118246E-2"/>
    <n v="12.135"/>
    <n v="1.0149999999999999"/>
  </r>
  <r>
    <x v="199"/>
    <n v="2.23"/>
    <x v="0"/>
    <x v="1"/>
    <x v="1"/>
    <x v="0"/>
    <x v="0"/>
    <n v="0.17476489028213166"/>
    <n v="6.38"/>
    <n v="1.115"/>
  </r>
  <r>
    <x v="200"/>
    <n v="2"/>
    <x v="1"/>
    <x v="1"/>
    <x v="1"/>
    <x v="0"/>
    <x v="1"/>
    <n v="6.6533599467731214E-2"/>
    <n v="10.02"/>
    <n v="0.66666666666666663"/>
  </r>
  <r>
    <x v="201"/>
    <n v="5.16"/>
    <x v="1"/>
    <x v="1"/>
    <x v="1"/>
    <x v="0"/>
    <x v="2"/>
    <n v="0.19930475086906141"/>
    <n v="6.4725000000000001"/>
    <n v="1.29"/>
  </r>
  <r>
    <x v="202"/>
    <n v="9"/>
    <x v="1"/>
    <x v="0"/>
    <x v="1"/>
    <x v="0"/>
    <x v="2"/>
    <n v="0.18621973929236499"/>
    <n v="12.0825"/>
    <n v="2.25"/>
  </r>
  <r>
    <x v="203"/>
    <n v="2.5"/>
    <x v="0"/>
    <x v="1"/>
    <x v="1"/>
    <x v="0"/>
    <x v="0"/>
    <n v="0.18839487565938207"/>
    <n v="6.6349999999999998"/>
    <n v="1.25"/>
  </r>
  <r>
    <x v="204"/>
    <n v="6.5"/>
    <x v="0"/>
    <x v="1"/>
    <x v="1"/>
    <x v="0"/>
    <x v="1"/>
    <n v="0.23074192403265883"/>
    <n v="9.39"/>
    <n v="2.1666666666666665"/>
  </r>
  <r>
    <x v="205"/>
    <n v="1.1000000000000001"/>
    <x v="0"/>
    <x v="1"/>
    <x v="1"/>
    <x v="0"/>
    <x v="0"/>
    <n v="8.5271317829457363E-2"/>
    <n v="6.45"/>
    <n v="0.55000000000000004"/>
  </r>
  <r>
    <x v="206"/>
    <n v="3"/>
    <x v="1"/>
    <x v="1"/>
    <x v="1"/>
    <x v="0"/>
    <x v="5"/>
    <n v="0.10657193605683837"/>
    <n v="5.63"/>
    <n v="0.6"/>
  </r>
  <r>
    <x v="207"/>
    <n v="1.5"/>
    <x v="1"/>
    <x v="1"/>
    <x v="1"/>
    <x v="0"/>
    <x v="0"/>
    <n v="0.12942191544434858"/>
    <n v="5.7949999999999999"/>
    <n v="0.75"/>
  </r>
  <r>
    <x v="208"/>
    <n v="1.44"/>
    <x v="1"/>
    <x v="1"/>
    <x v="1"/>
    <x v="0"/>
    <x v="0"/>
    <n v="0.18604651162790697"/>
    <n v="3.87"/>
    <n v="0.72"/>
  </r>
  <r>
    <x v="209"/>
    <n v="3.09"/>
    <x v="0"/>
    <x v="1"/>
    <x v="1"/>
    <x v="0"/>
    <x v="2"/>
    <n v="0.10252156602521566"/>
    <n v="7.5350000000000001"/>
    <n v="0.77249999999999996"/>
  </r>
  <r>
    <x v="210"/>
    <n v="2.2000000000000002"/>
    <x v="1"/>
    <x v="1"/>
    <x v="3"/>
    <x v="1"/>
    <x v="0"/>
    <n v="0.18092105263157895"/>
    <n v="6.08"/>
    <n v="1.1000000000000001"/>
  </r>
  <r>
    <x v="117"/>
    <n v="3.48"/>
    <x v="0"/>
    <x v="1"/>
    <x v="3"/>
    <x v="1"/>
    <x v="0"/>
    <n v="0.25931445603576753"/>
    <n v="6.71"/>
    <n v="1.74"/>
  </r>
  <r>
    <x v="211"/>
    <n v="1.92"/>
    <x v="1"/>
    <x v="1"/>
    <x v="3"/>
    <x v="1"/>
    <x v="3"/>
    <n v="0.22377622377622378"/>
    <n v="8.58"/>
    <n v="1.92"/>
  </r>
  <r>
    <x v="81"/>
    <n v="3"/>
    <x v="0"/>
    <x v="0"/>
    <x v="3"/>
    <x v="1"/>
    <x v="1"/>
    <n v="0.18773466833541927"/>
    <n v="5.3266666666666671"/>
    <n v="1"/>
  </r>
  <r>
    <x v="117"/>
    <n v="1.58"/>
    <x v="1"/>
    <x v="1"/>
    <x v="3"/>
    <x v="1"/>
    <x v="0"/>
    <n v="0.11773472429210134"/>
    <n v="6.71"/>
    <n v="0.79"/>
  </r>
  <r>
    <x v="212"/>
    <n v="2.5"/>
    <x v="0"/>
    <x v="1"/>
    <x v="3"/>
    <x v="1"/>
    <x v="0"/>
    <n v="0.15365703749231716"/>
    <n v="8.1349999999999998"/>
    <n v="1.25"/>
  </r>
  <r>
    <x v="213"/>
    <n v="2"/>
    <x v="0"/>
    <x v="1"/>
    <x v="3"/>
    <x v="1"/>
    <x v="0"/>
    <n v="0.19821605550049554"/>
    <n v="5.0449999999999999"/>
    <n v="1"/>
  </r>
  <r>
    <x v="214"/>
    <n v="3"/>
    <x v="1"/>
    <x v="0"/>
    <x v="1"/>
    <x v="0"/>
    <x v="2"/>
    <n v="0.14669926650366749"/>
    <n v="5.1124999999999998"/>
    <n v="0.75"/>
  </r>
  <r>
    <x v="215"/>
    <n v="2.72"/>
    <x v="1"/>
    <x v="0"/>
    <x v="1"/>
    <x v="0"/>
    <x v="0"/>
    <n v="0.20481927710843376"/>
    <n v="6.64"/>
    <n v="1.36"/>
  </r>
  <r>
    <x v="216"/>
    <n v="2.88"/>
    <x v="0"/>
    <x v="1"/>
    <x v="1"/>
    <x v="0"/>
    <x v="0"/>
    <n v="0.13019891500904157"/>
    <n v="11.06"/>
    <n v="1.44"/>
  </r>
  <r>
    <x v="217"/>
    <n v="2"/>
    <x v="1"/>
    <x v="1"/>
    <x v="1"/>
    <x v="0"/>
    <x v="2"/>
    <n v="8.3298625572678045E-2"/>
    <n v="6.0025000000000004"/>
    <n v="0.5"/>
  </r>
  <r>
    <x v="182"/>
    <n v="3"/>
    <x v="1"/>
    <x v="1"/>
    <x v="1"/>
    <x v="0"/>
    <x v="1"/>
    <n v="0.19120458891013384"/>
    <n v="5.2299999999999995"/>
    <n v="1"/>
  </r>
  <r>
    <x v="218"/>
    <n v="3.39"/>
    <x v="1"/>
    <x v="0"/>
    <x v="1"/>
    <x v="0"/>
    <x v="0"/>
    <n v="0.29198966408268734"/>
    <n v="5.8049999999999997"/>
    <n v="1.6950000000000001"/>
  </r>
  <r>
    <x v="219"/>
    <n v="1.47"/>
    <x v="1"/>
    <x v="0"/>
    <x v="1"/>
    <x v="0"/>
    <x v="0"/>
    <n v="0.13649025069637882"/>
    <n v="5.3849999999999998"/>
    <n v="0.73499999999999999"/>
  </r>
  <r>
    <x v="220"/>
    <n v="3"/>
    <x v="1"/>
    <x v="1"/>
    <x v="1"/>
    <x v="0"/>
    <x v="0"/>
    <n v="0.19317450096587252"/>
    <n v="7.7649999999999997"/>
    <n v="1.5"/>
  </r>
  <r>
    <x v="79"/>
    <n v="1.25"/>
    <x v="1"/>
    <x v="0"/>
    <x v="1"/>
    <x v="0"/>
    <x v="0"/>
    <n v="0.12413108242303872"/>
    <n v="5.0350000000000001"/>
    <n v="0.625"/>
  </r>
  <r>
    <x v="221"/>
    <n v="1"/>
    <x v="1"/>
    <x v="1"/>
    <x v="1"/>
    <x v="0"/>
    <x v="0"/>
    <n v="7.9365079365079361E-2"/>
    <n v="6.3"/>
    <n v="0.5"/>
  </r>
  <r>
    <x v="222"/>
    <n v="1.17"/>
    <x v="1"/>
    <x v="1"/>
    <x v="1"/>
    <x v="0"/>
    <x v="0"/>
    <n v="3.5638135851355467E-2"/>
    <n v="16.414999999999999"/>
    <n v="0.58499999999999996"/>
  </r>
  <r>
    <x v="223"/>
    <n v="4.67"/>
    <x v="0"/>
    <x v="0"/>
    <x v="1"/>
    <x v="0"/>
    <x v="1"/>
    <n v="0.13033770583310075"/>
    <n v="11.943333333333333"/>
    <n v="1.5566666666666666"/>
  </r>
  <r>
    <x v="224"/>
    <n v="5.92"/>
    <x v="1"/>
    <x v="0"/>
    <x v="1"/>
    <x v="0"/>
    <x v="1"/>
    <n v="0.20392697209782981"/>
    <n v="9.6766666666666676"/>
    <n v="1.9733333333333334"/>
  </r>
  <r>
    <x v="225"/>
    <n v="2"/>
    <x v="0"/>
    <x v="1"/>
    <x v="1"/>
    <x v="0"/>
    <x v="0"/>
    <n v="7.358351729212656E-2"/>
    <n v="13.59"/>
    <n v="1"/>
  </r>
  <r>
    <x v="226"/>
    <n v="2"/>
    <x v="1"/>
    <x v="1"/>
    <x v="1"/>
    <x v="0"/>
    <x v="0"/>
    <n v="8.8222320247022493E-2"/>
    <n v="11.335000000000001"/>
    <n v="1"/>
  </r>
  <r>
    <x v="227"/>
    <n v="1.75"/>
    <x v="1"/>
    <x v="0"/>
    <x v="1"/>
    <x v="0"/>
    <x v="0"/>
    <n v="9.8204264870931535E-2"/>
    <n v="8.91"/>
    <n v="0.875"/>
  </r>
  <r>
    <x v="228"/>
    <n v="3"/>
    <x v="0"/>
    <x v="0"/>
    <x v="2"/>
    <x v="0"/>
    <x v="0"/>
    <n v="0.15974440894568689"/>
    <n v="9.39"/>
    <n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356CF4-0CEF-478E-B14B-2496C7302F1C}" name="PivotTable4"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2">
  <location ref="A46:A47" firstHeaderRow="1" firstDataRow="1" firstDataCol="0"/>
  <pivotFields count="10">
    <pivotField dataField="1" compact="0" numFmtId="164" outline="0" showAll="0">
      <items count="230">
        <item x="65"/>
        <item x="89"/>
        <item x="107"/>
        <item x="144"/>
        <item x="187"/>
        <item x="208"/>
        <item x="140"/>
        <item x="131"/>
        <item x="122"/>
        <item x="211"/>
        <item x="6"/>
        <item x="30"/>
        <item x="171"/>
        <item x="43"/>
        <item x="143"/>
        <item x="53"/>
        <item x="79"/>
        <item x="213"/>
        <item x="10"/>
        <item x="51"/>
        <item x="16"/>
        <item x="1"/>
        <item x="73"/>
        <item x="162"/>
        <item x="163"/>
        <item x="113"/>
        <item x="219"/>
        <item x="61"/>
        <item x="128"/>
        <item x="58"/>
        <item x="96"/>
        <item x="124"/>
        <item x="207"/>
        <item x="218"/>
        <item x="116"/>
        <item x="142"/>
        <item x="68"/>
        <item x="94"/>
        <item x="210"/>
        <item x="129"/>
        <item x="114"/>
        <item x="95"/>
        <item x="120"/>
        <item x="50"/>
        <item x="221"/>
        <item x="156"/>
        <item x="27"/>
        <item x="192"/>
        <item x="199"/>
        <item x="205"/>
        <item x="189"/>
        <item x="83"/>
        <item x="146"/>
        <item x="134"/>
        <item x="203"/>
        <item x="215"/>
        <item x="26"/>
        <item x="153"/>
        <item x="117"/>
        <item x="190"/>
        <item x="60"/>
        <item x="42"/>
        <item x="106"/>
        <item x="145"/>
        <item x="132"/>
        <item x="118"/>
        <item x="105"/>
        <item x="170"/>
        <item x="123"/>
        <item x="72"/>
        <item x="9"/>
        <item x="14"/>
        <item x="67"/>
        <item x="8"/>
        <item x="32"/>
        <item x="101"/>
        <item x="97"/>
        <item x="12"/>
        <item x="185"/>
        <item x="220"/>
        <item x="182"/>
        <item x="22"/>
        <item x="165"/>
        <item x="119"/>
        <item x="81"/>
        <item x="133"/>
        <item x="40"/>
        <item x="157"/>
        <item x="212"/>
        <item x="17"/>
        <item x="36"/>
        <item x="90"/>
        <item x="193"/>
        <item x="139"/>
        <item x="64"/>
        <item x="195"/>
        <item x="154"/>
        <item x="186"/>
        <item x="78"/>
        <item x="167"/>
        <item x="37"/>
        <item x="18"/>
        <item x="0"/>
        <item x="69"/>
        <item x="147"/>
        <item x="76"/>
        <item x="111"/>
        <item x="41"/>
        <item x="135"/>
        <item x="158"/>
        <item x="62"/>
        <item x="34"/>
        <item x="25"/>
        <item x="227"/>
        <item x="169"/>
        <item x="20"/>
        <item x="49"/>
        <item x="180"/>
        <item x="104"/>
        <item x="130"/>
        <item x="84"/>
        <item x="45"/>
        <item x="31"/>
        <item x="13"/>
        <item x="141"/>
        <item x="38"/>
        <item x="191"/>
        <item x="228"/>
        <item x="126"/>
        <item x="77"/>
        <item x="55"/>
        <item x="29"/>
        <item x="149"/>
        <item x="183"/>
        <item x="24"/>
        <item x="63"/>
        <item x="66"/>
        <item x="127"/>
        <item x="21"/>
        <item x="214"/>
        <item x="102"/>
        <item x="194"/>
        <item x="19"/>
        <item x="33"/>
        <item x="160"/>
        <item x="178"/>
        <item x="100"/>
        <item x="2"/>
        <item x="86"/>
        <item x="155"/>
        <item x="15"/>
        <item x="28"/>
        <item x="216"/>
        <item x="46"/>
        <item x="99"/>
        <item x="88"/>
        <item x="226"/>
        <item x="91"/>
        <item x="75"/>
        <item x="125"/>
        <item x="181"/>
        <item x="176"/>
        <item x="174"/>
        <item x="3"/>
        <item x="109"/>
        <item x="217"/>
        <item x="35"/>
        <item x="115"/>
        <item x="198"/>
        <item x="159"/>
        <item x="148"/>
        <item x="4"/>
        <item x="85"/>
        <item x="152"/>
        <item x="103"/>
        <item x="71"/>
        <item x="5"/>
        <item x="54"/>
        <item x="110"/>
        <item x="201"/>
        <item x="57"/>
        <item x="196"/>
        <item x="70"/>
        <item x="7"/>
        <item x="138"/>
        <item x="225"/>
        <item x="74"/>
        <item x="93"/>
        <item x="206"/>
        <item x="204"/>
        <item x="184"/>
        <item x="48"/>
        <item x="87"/>
        <item x="224"/>
        <item x="121"/>
        <item x="150"/>
        <item x="112"/>
        <item x="200"/>
        <item x="209"/>
        <item x="44"/>
        <item x="179"/>
        <item x="39"/>
        <item x="161"/>
        <item x="166"/>
        <item x="47"/>
        <item x="80"/>
        <item x="222"/>
        <item x="168"/>
        <item x="136"/>
        <item x="172"/>
        <item x="173"/>
        <item x="52"/>
        <item x="82"/>
        <item x="11"/>
        <item x="223"/>
        <item x="56"/>
        <item x="108"/>
        <item x="197"/>
        <item x="23"/>
        <item x="92"/>
        <item x="177"/>
        <item x="137"/>
        <item x="188"/>
        <item x="98"/>
        <item x="175"/>
        <item x="151"/>
        <item x="59"/>
        <item x="202"/>
        <item x="164"/>
        <item t="default"/>
      </items>
    </pivotField>
    <pivotField compact="0" numFmtId="164" outline="0" showAll="0"/>
    <pivotField compact="0" outline="0" showAll="0">
      <items count="3">
        <item x="0"/>
        <item x="1"/>
        <item t="default"/>
      </items>
    </pivotField>
    <pivotField compact="0" outline="0" showAll="0">
      <items count="3">
        <item x="0"/>
        <item x="1"/>
        <item t="default"/>
      </items>
    </pivotField>
    <pivotField compact="0" outline="0" showAll="0">
      <items count="5">
        <item x="3"/>
        <item x="1"/>
        <item x="0"/>
        <item x="2"/>
        <item t="default"/>
      </items>
    </pivotField>
    <pivotField compact="0" outline="0" showAll="0">
      <items count="3">
        <item x="0"/>
        <item x="1"/>
        <item t="default"/>
      </items>
    </pivotField>
    <pivotField compact="0" outline="0" showAll="0"/>
    <pivotField compact="0" numFmtId="10" outline="0" showAll="0"/>
    <pivotField compact="0" numFmtId="164" outline="0" showAll="0"/>
    <pivotField compact="0" numFmtId="164" outline="0" showAll="0"/>
  </pivotFields>
  <rowItems count="1">
    <i/>
  </rowItems>
  <colItems count="1">
    <i/>
  </colItems>
  <dataFields count="1">
    <dataField name="Average of total_bill" fld="0" subtotal="average" baseField="4" baseItem="0" numFmtId="164"/>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647D29-1BE0-4EAA-96C1-10507DE5DD02}" name="PivotTable3"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3">
  <location ref="A37:B39" firstHeaderRow="1" firstDataRow="1" firstDataCol="1" rowPageCount="1" colPageCount="1"/>
  <pivotFields count="10">
    <pivotField compact="0" numFmtId="164" outline="0" showAll="0"/>
    <pivotField dataField="1" compact="0" numFmtId="164" outline="0" showAll="0"/>
    <pivotField axis="axisRow" compact="0" outline="0" showAll="0">
      <items count="3">
        <item x="0"/>
        <item x="1"/>
        <item t="default"/>
      </items>
    </pivotField>
    <pivotField compact="0" outline="0" showAll="0"/>
    <pivotField compact="0" outline="0" showAll="0">
      <items count="5">
        <item x="3"/>
        <item x="1"/>
        <item x="0"/>
        <item x="2"/>
        <item t="default"/>
      </items>
    </pivotField>
    <pivotField axis="axisPage" compact="0" outline="0" showAll="0">
      <items count="3">
        <item x="0"/>
        <item x="1"/>
        <item t="default"/>
      </items>
    </pivotField>
    <pivotField compact="0" outline="0" showAll="0"/>
    <pivotField compact="0" numFmtId="10" outline="0" showAll="0"/>
    <pivotField compact="0" numFmtId="164" outline="0" showAll="0"/>
    <pivotField compact="0" numFmtId="164" outline="0" showAll="0"/>
  </pivotFields>
  <rowFields count="1">
    <field x="2"/>
  </rowFields>
  <rowItems count="2">
    <i>
      <x/>
    </i>
    <i>
      <x v="1"/>
    </i>
  </rowItems>
  <colItems count="1">
    <i/>
  </colItems>
  <pageFields count="1">
    <pageField fld="5" hier="-1"/>
  </pageFields>
  <dataFields count="1">
    <dataField name="Sum of tip" fld="1" baseField="2" baseItem="0" numFmtId="164"/>
  </dataFields>
  <chartFormats count="2">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2"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ADB541-A664-4FD6-A04C-D44A92BE7E81}" name="PivotTable2"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4">
  <location ref="A18:B22" firstHeaderRow="1" firstDataRow="1" firstDataCol="1" rowPageCount="1" colPageCount="1"/>
  <pivotFields count="10">
    <pivotField dataField="1" compact="0" numFmtId="164" outline="0" showAll="0"/>
    <pivotField compact="0" numFmtId="164" outline="0" showAll="0"/>
    <pivotField compact="0" outline="0" showAll="0"/>
    <pivotField compact="0" outline="0" showAll="0"/>
    <pivotField axis="axisRow" compact="0" outline="0" showAll="0">
      <items count="5">
        <item x="3"/>
        <item x="1"/>
        <item x="0"/>
        <item x="2"/>
        <item t="default"/>
      </items>
    </pivotField>
    <pivotField axis="axisPage" compact="0" outline="0" showAll="0">
      <items count="3">
        <item x="0"/>
        <item x="1"/>
        <item t="default"/>
      </items>
    </pivotField>
    <pivotField compact="0" outline="0" showAll="0"/>
    <pivotField compact="0" numFmtId="10" outline="0" showAll="0"/>
    <pivotField compact="0" numFmtId="164" outline="0" showAll="0"/>
    <pivotField compact="0" numFmtId="164" outline="0" showAll="0"/>
  </pivotFields>
  <rowFields count="1">
    <field x="4"/>
  </rowFields>
  <rowItems count="4">
    <i>
      <x/>
    </i>
    <i>
      <x v="1"/>
    </i>
    <i>
      <x v="2"/>
    </i>
    <i>
      <x v="3"/>
    </i>
  </rowItems>
  <colItems count="1">
    <i/>
  </colItems>
  <pageFields count="1">
    <pageField fld="5" hier="-1"/>
  </pageFields>
  <dataFields count="1">
    <dataField name="Average of total_bill" fld="0" subtotal="average" baseField="4" baseItem="0" numFmtId="164"/>
  </dataFields>
  <chartFormats count="1">
    <chartFormat chart="11"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C2FF96-B2A7-4606-8926-7B5EDD48C41F}"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0">
    <pivotField numFmtId="164" showAll="0"/>
    <pivotField dataField="1" numFmtId="164" showAll="0"/>
    <pivotField showAll="0"/>
    <pivotField showAll="0"/>
    <pivotField axis="axisRow" showAll="0">
      <items count="5">
        <item x="3"/>
        <item x="1"/>
        <item x="0"/>
        <item x="2"/>
        <item t="default"/>
      </items>
    </pivotField>
    <pivotField showAll="0">
      <items count="3">
        <item x="0"/>
        <item x="1"/>
        <item t="default"/>
      </items>
    </pivotField>
    <pivotField showAll="0"/>
    <pivotField numFmtId="10" showAll="0"/>
    <pivotField numFmtId="164" showAll="0"/>
    <pivotField numFmtId="164" showAll="0"/>
  </pivotFields>
  <rowFields count="1">
    <field x="4"/>
  </rowFields>
  <rowItems count="5">
    <i>
      <x/>
    </i>
    <i>
      <x v="1"/>
    </i>
    <i>
      <x v="2"/>
    </i>
    <i>
      <x v="3"/>
    </i>
    <i t="grand">
      <x/>
    </i>
  </rowItems>
  <colItems count="1">
    <i/>
  </colItems>
  <dataFields count="1">
    <dataField name="Average of tip" fld="1" subtotal="average" baseField="4" baseItem="0" numFmtId="164"/>
  </dataFields>
  <chartFormats count="1">
    <chartFormat chart="5"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068CC4F-4E70-4358-AC2F-FCB65E892969}" autoFormatId="16" applyNumberFormats="0" applyBorderFormats="0" applyFontFormats="0" applyPatternFormats="0" applyAlignmentFormats="0" applyWidthHeightFormats="0">
  <queryTableRefresh nextId="11" unboundColumnsRight="3">
    <queryTableFields count="10">
      <queryTableField id="1" name="total_bill" tableColumnId="1"/>
      <queryTableField id="2" name="tip" tableColumnId="2"/>
      <queryTableField id="3" name="sex" tableColumnId="3"/>
      <queryTableField id="4" name="smoker" tableColumnId="4"/>
      <queryTableField id="5" name="day" tableColumnId="5"/>
      <queryTableField id="6" name="time" tableColumnId="6"/>
      <queryTableField id="7" name="size" tableColumnId="7"/>
      <queryTableField id="8" dataBound="0" tableColumnId="8"/>
      <queryTableField id="9" dataBound="0" tableColumnId="9"/>
      <queryTableField id="10"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 xr10:uid="{959F6C19-1D02-4400-8193-51CFCF9E6474}" sourceName="time">
  <pivotTables>
    <pivotTable tabId="4" name="PivotTable2"/>
    <pivotTable tabId="4" name="PivotTable3"/>
    <pivotTable tabId="4" name="PivotTable4"/>
    <pivotTable tabId="4" name="PivotTable1"/>
  </pivotTables>
  <data>
    <tabular pivotCacheId="73122673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 xr10:uid="{CC456D46-BCB3-4C01-ABF6-31FF8C369C14}" cache="Slicer_time"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A39252-3538-417F-8E90-8B4AEBEE55C9}" name="tips" displayName="tips" ref="A1:J245" tableType="queryTable" totalsRowShown="0">
  <autoFilter ref="A1:J245" xr:uid="{74A39252-3538-417F-8E90-8B4AEBEE55C9}"/>
  <tableColumns count="10">
    <tableColumn id="1" xr3:uid="{E1A6B2EC-54F6-4C17-838F-0BC77042B979}" uniqueName="1" name="total_bill" queryTableFieldId="1" dataDxfId="5"/>
    <tableColumn id="2" xr3:uid="{4524F54B-8247-49F7-8EC5-255FC83E8710}" uniqueName="2" name="tip" queryTableFieldId="2" dataDxfId="3"/>
    <tableColumn id="3" xr3:uid="{EE8BE73E-BB4E-4B7B-9A54-4774FCE584D5}" uniqueName="3" name="sex" queryTableFieldId="3" dataDxfId="4"/>
    <tableColumn id="4" xr3:uid="{E36532D3-8293-4182-9DF8-3C0609CAD725}" uniqueName="4" name="smoker" queryTableFieldId="4" dataDxfId="8"/>
    <tableColumn id="5" xr3:uid="{1EECCAE6-B910-4F31-ADBC-CA8E69790BB8}" uniqueName="5" name="day" queryTableFieldId="5" dataDxfId="7"/>
    <tableColumn id="6" xr3:uid="{77191065-7240-44C2-8593-82EB7122FDAF}" uniqueName="6" name="time" queryTableFieldId="6" dataDxfId="6"/>
    <tableColumn id="7" xr3:uid="{5E2F41B1-D5A4-4A8D-BAE3-8F240BDEC5BB}" uniqueName="7" name="Customers" queryTableFieldId="7"/>
    <tableColumn id="8" xr3:uid="{414D87F2-A9BB-4A72-A5A0-5921E44D56C1}" uniqueName="8" name="Tip Percentage " queryTableFieldId="8" dataDxfId="2">
      <calculatedColumnFormula>tips[[#This Row],[tip]]/tips[[#This Row],[total_bill]]</calculatedColumnFormula>
    </tableColumn>
    <tableColumn id="9" xr3:uid="{AC4F70C4-90D1-46A0-9727-3C5B7112E967}" uniqueName="9" name="Bill per Person" queryTableFieldId="9" dataDxfId="1">
      <calculatedColumnFormula>tips[[#This Row],[total_bill]]/tips[[#This Row],[Customers]]</calculatedColumnFormula>
    </tableColumn>
    <tableColumn id="10" xr3:uid="{390812E3-63D2-4A12-AEB8-B585BC6A119F}" uniqueName="10" name="Tip per Person" queryTableFieldId="10" dataDxfId="0">
      <calculatedColumnFormula>tips[[#This Row],[tip]]/tips[[#This Row],[Customers]]</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FF55F-E8F5-4C95-B8B6-C0D36B4BECD5}">
  <dimension ref="A3:B47"/>
  <sheetViews>
    <sheetView showGridLines="0" tabSelected="1" workbookViewId="0">
      <selection activeCell="S15" sqref="S15"/>
    </sheetView>
  </sheetViews>
  <sheetFormatPr defaultRowHeight="15" x14ac:dyDescent="0.25"/>
  <cols>
    <col min="1" max="1" width="13.140625" bestFit="1" customWidth="1"/>
    <col min="2" max="2" width="12.7109375" bestFit="1" customWidth="1"/>
    <col min="3" max="3" width="24.140625" bestFit="1" customWidth="1"/>
    <col min="4" max="4" width="11.28515625" bestFit="1" customWidth="1"/>
    <col min="6" max="6" width="13.140625" bestFit="1" customWidth="1"/>
    <col min="7" max="7" width="24.140625" bestFit="1" customWidth="1"/>
  </cols>
  <sheetData>
    <row r="3" spans="1:2" x14ac:dyDescent="0.25">
      <c r="A3" s="5" t="s">
        <v>20</v>
      </c>
      <c r="B3" s="6" t="s">
        <v>23</v>
      </c>
    </row>
    <row r="4" spans="1:2" x14ac:dyDescent="0.25">
      <c r="A4" s="7" t="s">
        <v>15</v>
      </c>
      <c r="B4" s="8">
        <v>2.7347368421052631</v>
      </c>
    </row>
    <row r="5" spans="1:2" x14ac:dyDescent="0.25">
      <c r="A5" s="9" t="s">
        <v>11</v>
      </c>
      <c r="B5" s="10">
        <v>2.9931034482758618</v>
      </c>
    </row>
    <row r="6" spans="1:2" x14ac:dyDescent="0.25">
      <c r="A6" s="9" t="s">
        <v>8</v>
      </c>
      <c r="B6" s="10">
        <v>3.2551315789473692</v>
      </c>
    </row>
    <row r="7" spans="1:2" x14ac:dyDescent="0.25">
      <c r="A7" s="9" t="s">
        <v>13</v>
      </c>
      <c r="B7" s="10">
        <v>2.7714516129032258</v>
      </c>
    </row>
    <row r="8" spans="1:2" x14ac:dyDescent="0.25">
      <c r="A8" s="11" t="s">
        <v>21</v>
      </c>
      <c r="B8" s="12">
        <v>2.9982786885245898</v>
      </c>
    </row>
    <row r="16" spans="1:2" x14ac:dyDescent="0.25">
      <c r="A16" s="13" t="s">
        <v>5</v>
      </c>
      <c r="B16" s="14" t="s">
        <v>25</v>
      </c>
    </row>
    <row r="18" spans="1:2" x14ac:dyDescent="0.25">
      <c r="A18" s="5" t="s">
        <v>4</v>
      </c>
      <c r="B18" s="6" t="s">
        <v>24</v>
      </c>
    </row>
    <row r="19" spans="1:2" x14ac:dyDescent="0.25">
      <c r="A19" s="4" t="s">
        <v>15</v>
      </c>
      <c r="B19" s="8">
        <v>17.151578947368417</v>
      </c>
    </row>
    <row r="20" spans="1:2" x14ac:dyDescent="0.25">
      <c r="A20" s="15" t="s">
        <v>11</v>
      </c>
      <c r="B20" s="16">
        <v>20.441379310344825</v>
      </c>
    </row>
    <row r="21" spans="1:2" x14ac:dyDescent="0.25">
      <c r="A21" s="15" t="s">
        <v>8</v>
      </c>
      <c r="B21" s="16">
        <v>21.410000000000004</v>
      </c>
    </row>
    <row r="22" spans="1:2" x14ac:dyDescent="0.25">
      <c r="A22" s="17" t="s">
        <v>13</v>
      </c>
      <c r="B22" s="18">
        <v>17.682741935483865</v>
      </c>
    </row>
    <row r="35" spans="1:2" x14ac:dyDescent="0.25">
      <c r="A35" s="13" t="s">
        <v>5</v>
      </c>
      <c r="B35" s="14" t="s">
        <v>25</v>
      </c>
    </row>
    <row r="37" spans="1:2" x14ac:dyDescent="0.25">
      <c r="A37" s="5" t="s">
        <v>2</v>
      </c>
      <c r="B37" s="6" t="s">
        <v>22</v>
      </c>
    </row>
    <row r="38" spans="1:2" x14ac:dyDescent="0.25">
      <c r="A38" s="4" t="s">
        <v>6</v>
      </c>
      <c r="B38" s="8">
        <v>246.51</v>
      </c>
    </row>
    <row r="39" spans="1:2" x14ac:dyDescent="0.25">
      <c r="A39" s="17" t="s">
        <v>10</v>
      </c>
      <c r="B39" s="18">
        <v>485.07000000000011</v>
      </c>
    </row>
    <row r="46" spans="1:2" x14ac:dyDescent="0.25">
      <c r="A46" s="6" t="s">
        <v>24</v>
      </c>
    </row>
    <row r="47" spans="1:2" x14ac:dyDescent="0.25">
      <c r="A47" s="12">
        <v>19.785942622950824</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70A9D-58BD-4297-8951-D7FCF88B7AC0}">
  <dimension ref="A1:M245"/>
  <sheetViews>
    <sheetView workbookViewId="0">
      <selection activeCell="M13" sqref="M13"/>
    </sheetView>
  </sheetViews>
  <sheetFormatPr defaultRowHeight="15" x14ac:dyDescent="0.25"/>
  <cols>
    <col min="1" max="2" width="16.5703125" style="2" customWidth="1"/>
    <col min="3" max="7" width="16.5703125" customWidth="1"/>
    <col min="8" max="8" width="17.140625" style="3" bestFit="1" customWidth="1"/>
    <col min="9" max="9" width="16.42578125" bestFit="1" customWidth="1"/>
    <col min="10" max="10" width="17.42578125" customWidth="1"/>
    <col min="13" max="13" width="13.28515625" customWidth="1"/>
  </cols>
  <sheetData>
    <row r="1" spans="1:13" x14ac:dyDescent="0.25">
      <c r="A1" s="2" t="s">
        <v>0</v>
      </c>
      <c r="B1" s="2" t="s">
        <v>1</v>
      </c>
      <c r="C1" t="s">
        <v>2</v>
      </c>
      <c r="D1" t="s">
        <v>3</v>
      </c>
      <c r="E1" t="s">
        <v>4</v>
      </c>
      <c r="F1" t="s">
        <v>5</v>
      </c>
      <c r="G1" t="s">
        <v>17</v>
      </c>
      <c r="H1" s="3" t="s">
        <v>16</v>
      </c>
      <c r="I1" t="s">
        <v>18</v>
      </c>
      <c r="J1" t="s">
        <v>19</v>
      </c>
    </row>
    <row r="2" spans="1:13" x14ac:dyDescent="0.25">
      <c r="A2" s="2">
        <v>16.989999999999998</v>
      </c>
      <c r="B2" s="2">
        <v>1.01</v>
      </c>
      <c r="C2" s="1" t="s">
        <v>6</v>
      </c>
      <c r="D2" s="1" t="s">
        <v>7</v>
      </c>
      <c r="E2" s="1" t="s">
        <v>8</v>
      </c>
      <c r="F2" s="1" t="s">
        <v>9</v>
      </c>
      <c r="G2">
        <v>2</v>
      </c>
      <c r="H2" s="3">
        <f>tips[[#This Row],[tip]]/tips[[#This Row],[total_bill]]</f>
        <v>5.9446733372572107E-2</v>
      </c>
      <c r="I2" s="2">
        <f>tips[[#This Row],[total_bill]]/tips[[#This Row],[Customers]]</f>
        <v>8.4949999999999992</v>
      </c>
      <c r="J2" s="2">
        <f>tips[[#This Row],[tip]]/tips[[#This Row],[Customers]]</f>
        <v>0.505</v>
      </c>
    </row>
    <row r="3" spans="1:13" x14ac:dyDescent="0.25">
      <c r="A3" s="2">
        <v>10.34</v>
      </c>
      <c r="B3" s="2">
        <v>1.66</v>
      </c>
      <c r="C3" s="1" t="s">
        <v>10</v>
      </c>
      <c r="D3" s="1" t="s">
        <v>7</v>
      </c>
      <c r="E3" s="1" t="s">
        <v>8</v>
      </c>
      <c r="F3" s="1" t="s">
        <v>9</v>
      </c>
      <c r="G3">
        <v>3</v>
      </c>
      <c r="H3" s="3">
        <f>tips[[#This Row],[tip]]/tips[[#This Row],[total_bill]]</f>
        <v>0.16054158607350097</v>
      </c>
      <c r="I3" s="2">
        <f>tips[[#This Row],[total_bill]]/tips[[#This Row],[Customers]]</f>
        <v>3.4466666666666668</v>
      </c>
      <c r="J3" s="2">
        <f>tips[[#This Row],[tip]]/tips[[#This Row],[Customers]]</f>
        <v>0.55333333333333334</v>
      </c>
    </row>
    <row r="4" spans="1:13" x14ac:dyDescent="0.25">
      <c r="A4" s="2">
        <v>21.01</v>
      </c>
      <c r="B4" s="2">
        <v>3.5</v>
      </c>
      <c r="C4" s="1" t="s">
        <v>10</v>
      </c>
      <c r="D4" s="1" t="s">
        <v>7</v>
      </c>
      <c r="E4" s="1" t="s">
        <v>8</v>
      </c>
      <c r="F4" s="1" t="s">
        <v>9</v>
      </c>
      <c r="G4">
        <v>3</v>
      </c>
      <c r="H4" s="3">
        <f>tips[[#This Row],[tip]]/tips[[#This Row],[total_bill]]</f>
        <v>0.16658733936220846</v>
      </c>
      <c r="I4" s="2">
        <f>tips[[#This Row],[total_bill]]/tips[[#This Row],[Customers]]</f>
        <v>7.0033333333333339</v>
      </c>
      <c r="J4" s="2">
        <f>tips[[#This Row],[tip]]/tips[[#This Row],[Customers]]</f>
        <v>1.1666666666666667</v>
      </c>
    </row>
    <row r="5" spans="1:13" x14ac:dyDescent="0.25">
      <c r="A5" s="2">
        <v>23.68</v>
      </c>
      <c r="B5" s="2">
        <v>3.31</v>
      </c>
      <c r="C5" s="1" t="s">
        <v>10</v>
      </c>
      <c r="D5" s="1" t="s">
        <v>7</v>
      </c>
      <c r="E5" s="1" t="s">
        <v>8</v>
      </c>
      <c r="F5" s="1" t="s">
        <v>9</v>
      </c>
      <c r="G5">
        <v>2</v>
      </c>
      <c r="H5" s="3">
        <f>tips[[#This Row],[tip]]/tips[[#This Row],[total_bill]]</f>
        <v>0.1397804054054054</v>
      </c>
      <c r="I5" s="2">
        <f>tips[[#This Row],[total_bill]]/tips[[#This Row],[Customers]]</f>
        <v>11.84</v>
      </c>
      <c r="J5" s="2">
        <f>tips[[#This Row],[tip]]/tips[[#This Row],[Customers]]</f>
        <v>1.655</v>
      </c>
    </row>
    <row r="6" spans="1:13" x14ac:dyDescent="0.25">
      <c r="A6" s="2">
        <v>24.59</v>
      </c>
      <c r="B6" s="2">
        <v>3.61</v>
      </c>
      <c r="C6" s="1" t="s">
        <v>6</v>
      </c>
      <c r="D6" s="1" t="s">
        <v>7</v>
      </c>
      <c r="E6" s="1" t="s">
        <v>8</v>
      </c>
      <c r="F6" s="1" t="s">
        <v>9</v>
      </c>
      <c r="G6">
        <v>4</v>
      </c>
      <c r="H6" s="3">
        <f>tips[[#This Row],[tip]]/tips[[#This Row],[total_bill]]</f>
        <v>0.14680764538430255</v>
      </c>
      <c r="I6" s="2">
        <f>tips[[#This Row],[total_bill]]/tips[[#This Row],[Customers]]</f>
        <v>6.1475</v>
      </c>
      <c r="J6" s="2">
        <f>tips[[#This Row],[tip]]/tips[[#This Row],[Customers]]</f>
        <v>0.90249999999999997</v>
      </c>
    </row>
    <row r="7" spans="1:13" x14ac:dyDescent="0.25">
      <c r="A7" s="2">
        <v>25.29</v>
      </c>
      <c r="B7" s="2">
        <v>4.71</v>
      </c>
      <c r="C7" s="1" t="s">
        <v>10</v>
      </c>
      <c r="D7" s="1" t="s">
        <v>7</v>
      </c>
      <c r="E7" s="1" t="s">
        <v>8</v>
      </c>
      <c r="F7" s="1" t="s">
        <v>9</v>
      </c>
      <c r="G7">
        <v>4</v>
      </c>
      <c r="H7" s="3">
        <f>tips[[#This Row],[tip]]/tips[[#This Row],[total_bill]]</f>
        <v>0.18623962040332148</v>
      </c>
      <c r="I7" s="2">
        <f>tips[[#This Row],[total_bill]]/tips[[#This Row],[Customers]]</f>
        <v>6.3224999999999998</v>
      </c>
      <c r="J7" s="2">
        <f>tips[[#This Row],[tip]]/tips[[#This Row],[Customers]]</f>
        <v>1.1775</v>
      </c>
      <c r="L7">
        <f>COUNTBLANK(tips[])</f>
        <v>0</v>
      </c>
    </row>
    <row r="8" spans="1:13" x14ac:dyDescent="0.25">
      <c r="A8" s="2">
        <v>8.77</v>
      </c>
      <c r="B8" s="2">
        <v>2</v>
      </c>
      <c r="C8" s="1" t="s">
        <v>10</v>
      </c>
      <c r="D8" s="1" t="s">
        <v>7</v>
      </c>
      <c r="E8" s="1" t="s">
        <v>8</v>
      </c>
      <c r="F8" s="1" t="s">
        <v>9</v>
      </c>
      <c r="G8">
        <v>2</v>
      </c>
      <c r="H8" s="3">
        <f>tips[[#This Row],[tip]]/tips[[#This Row],[total_bill]]</f>
        <v>0.22805017103762829</v>
      </c>
      <c r="I8" s="2">
        <f>tips[[#This Row],[total_bill]]/tips[[#This Row],[Customers]]</f>
        <v>4.3849999999999998</v>
      </c>
      <c r="J8" s="2">
        <f>tips[[#This Row],[tip]]/tips[[#This Row],[Customers]]</f>
        <v>1</v>
      </c>
    </row>
    <row r="9" spans="1:13" x14ac:dyDescent="0.25">
      <c r="A9" s="2">
        <v>26.88</v>
      </c>
      <c r="B9" s="2">
        <v>3.12</v>
      </c>
      <c r="C9" s="1" t="s">
        <v>10</v>
      </c>
      <c r="D9" s="1" t="s">
        <v>7</v>
      </c>
      <c r="E9" s="1" t="s">
        <v>8</v>
      </c>
      <c r="F9" s="1" t="s">
        <v>9</v>
      </c>
      <c r="G9">
        <v>4</v>
      </c>
      <c r="H9" s="3">
        <f>tips[[#This Row],[tip]]/tips[[#This Row],[total_bill]]</f>
        <v>0.11607142857142858</v>
      </c>
      <c r="I9" s="2">
        <f>tips[[#This Row],[total_bill]]/tips[[#This Row],[Customers]]</f>
        <v>6.72</v>
      </c>
      <c r="J9" s="2">
        <f>tips[[#This Row],[tip]]/tips[[#This Row],[Customers]]</f>
        <v>0.78</v>
      </c>
    </row>
    <row r="10" spans="1:13" x14ac:dyDescent="0.25">
      <c r="A10" s="2">
        <v>15.04</v>
      </c>
      <c r="B10" s="2">
        <v>1.96</v>
      </c>
      <c r="C10" s="1" t="s">
        <v>10</v>
      </c>
      <c r="D10" s="1" t="s">
        <v>7</v>
      </c>
      <c r="E10" s="1" t="s">
        <v>8</v>
      </c>
      <c r="F10" s="1" t="s">
        <v>9</v>
      </c>
      <c r="G10">
        <v>2</v>
      </c>
      <c r="H10" s="3">
        <f>tips[[#This Row],[tip]]/tips[[#This Row],[total_bill]]</f>
        <v>0.13031914893617022</v>
      </c>
      <c r="I10" s="2">
        <f>tips[[#This Row],[total_bill]]/tips[[#This Row],[Customers]]</f>
        <v>7.52</v>
      </c>
      <c r="J10" s="2">
        <f>tips[[#This Row],[tip]]/tips[[#This Row],[Customers]]</f>
        <v>0.98</v>
      </c>
    </row>
    <row r="11" spans="1:13" x14ac:dyDescent="0.25">
      <c r="A11" s="2">
        <v>14.78</v>
      </c>
      <c r="B11" s="2">
        <v>3.23</v>
      </c>
      <c r="C11" s="1" t="s">
        <v>10</v>
      </c>
      <c r="D11" s="1" t="s">
        <v>7</v>
      </c>
      <c r="E11" s="1" t="s">
        <v>8</v>
      </c>
      <c r="F11" s="1" t="s">
        <v>9</v>
      </c>
      <c r="G11">
        <v>2</v>
      </c>
      <c r="H11" s="3">
        <f>tips[[#This Row],[tip]]/tips[[#This Row],[total_bill]]</f>
        <v>0.21853856562922869</v>
      </c>
      <c r="I11" s="2">
        <f>tips[[#This Row],[total_bill]]/tips[[#This Row],[Customers]]</f>
        <v>7.39</v>
      </c>
      <c r="J11" s="2">
        <f>tips[[#This Row],[tip]]/tips[[#This Row],[Customers]]</f>
        <v>1.615</v>
      </c>
    </row>
    <row r="12" spans="1:13" x14ac:dyDescent="0.25">
      <c r="A12" s="2">
        <v>10.27</v>
      </c>
      <c r="B12" s="2">
        <v>1.71</v>
      </c>
      <c r="C12" s="1" t="s">
        <v>10</v>
      </c>
      <c r="D12" s="1" t="s">
        <v>7</v>
      </c>
      <c r="E12" s="1" t="s">
        <v>8</v>
      </c>
      <c r="F12" s="1" t="s">
        <v>9</v>
      </c>
      <c r="G12">
        <v>2</v>
      </c>
      <c r="H12" s="3">
        <f>tips[[#This Row],[tip]]/tips[[#This Row],[total_bill]]</f>
        <v>0.1665043816942551</v>
      </c>
      <c r="I12" s="2">
        <f>tips[[#This Row],[total_bill]]/tips[[#This Row],[Customers]]</f>
        <v>5.1349999999999998</v>
      </c>
      <c r="J12" s="2">
        <f>tips[[#This Row],[tip]]/tips[[#This Row],[Customers]]</f>
        <v>0.85499999999999998</v>
      </c>
      <c r="M12" t="str" cm="1">
        <f t="array" ref="M12:M15">_xlfn.UNIQUE(tips[day])</f>
        <v>Sun</v>
      </c>
    </row>
    <row r="13" spans="1:13" x14ac:dyDescent="0.25">
      <c r="A13" s="2">
        <v>35.26</v>
      </c>
      <c r="B13" s="2">
        <v>5</v>
      </c>
      <c r="C13" s="1" t="s">
        <v>6</v>
      </c>
      <c r="D13" s="1" t="s">
        <v>7</v>
      </c>
      <c r="E13" s="1" t="s">
        <v>8</v>
      </c>
      <c r="F13" s="1" t="s">
        <v>9</v>
      </c>
      <c r="G13">
        <v>4</v>
      </c>
      <c r="H13" s="3">
        <f>tips[[#This Row],[tip]]/tips[[#This Row],[total_bill]]</f>
        <v>0.14180374361883155</v>
      </c>
      <c r="I13" s="2">
        <f>tips[[#This Row],[total_bill]]/tips[[#This Row],[Customers]]</f>
        <v>8.8149999999999995</v>
      </c>
      <c r="J13" s="2">
        <f>tips[[#This Row],[tip]]/tips[[#This Row],[Customers]]</f>
        <v>1.25</v>
      </c>
      <c r="M13" t="str">
        <v>Sat</v>
      </c>
    </row>
    <row r="14" spans="1:13" x14ac:dyDescent="0.25">
      <c r="A14" s="2">
        <v>15.42</v>
      </c>
      <c r="B14" s="2">
        <v>1.57</v>
      </c>
      <c r="C14" s="1" t="s">
        <v>10</v>
      </c>
      <c r="D14" s="1" t="s">
        <v>7</v>
      </c>
      <c r="E14" s="1" t="s">
        <v>8</v>
      </c>
      <c r="F14" s="1" t="s">
        <v>9</v>
      </c>
      <c r="G14">
        <v>2</v>
      </c>
      <c r="H14" s="3">
        <f>tips[[#This Row],[tip]]/tips[[#This Row],[total_bill]]</f>
        <v>0.10181582360570687</v>
      </c>
      <c r="I14" s="2">
        <f>tips[[#This Row],[total_bill]]/tips[[#This Row],[Customers]]</f>
        <v>7.71</v>
      </c>
      <c r="J14" s="2">
        <f>tips[[#This Row],[tip]]/tips[[#This Row],[Customers]]</f>
        <v>0.78500000000000003</v>
      </c>
      <c r="M14" t="str">
        <v>Thur</v>
      </c>
    </row>
    <row r="15" spans="1:13" x14ac:dyDescent="0.25">
      <c r="A15" s="2">
        <v>18.43</v>
      </c>
      <c r="B15" s="2">
        <v>3</v>
      </c>
      <c r="C15" s="1" t="s">
        <v>10</v>
      </c>
      <c r="D15" s="1" t="s">
        <v>7</v>
      </c>
      <c r="E15" s="1" t="s">
        <v>8</v>
      </c>
      <c r="F15" s="1" t="s">
        <v>9</v>
      </c>
      <c r="G15">
        <v>4</v>
      </c>
      <c r="H15" s="3">
        <f>tips[[#This Row],[tip]]/tips[[#This Row],[total_bill]]</f>
        <v>0.16277807921866522</v>
      </c>
      <c r="I15" s="2">
        <f>tips[[#This Row],[total_bill]]/tips[[#This Row],[Customers]]</f>
        <v>4.6074999999999999</v>
      </c>
      <c r="J15" s="2">
        <f>tips[[#This Row],[tip]]/tips[[#This Row],[Customers]]</f>
        <v>0.75</v>
      </c>
      <c r="M15" t="str">
        <v>Fri</v>
      </c>
    </row>
    <row r="16" spans="1:13" x14ac:dyDescent="0.25">
      <c r="A16" s="2">
        <v>14.83</v>
      </c>
      <c r="B16" s="2">
        <v>3.02</v>
      </c>
      <c r="C16" s="1" t="s">
        <v>6</v>
      </c>
      <c r="D16" s="1" t="s">
        <v>7</v>
      </c>
      <c r="E16" s="1" t="s">
        <v>8</v>
      </c>
      <c r="F16" s="1" t="s">
        <v>9</v>
      </c>
      <c r="G16">
        <v>2</v>
      </c>
      <c r="H16" s="3">
        <f>tips[[#This Row],[tip]]/tips[[#This Row],[total_bill]]</f>
        <v>0.20364126770060686</v>
      </c>
      <c r="I16" s="2">
        <f>tips[[#This Row],[total_bill]]/tips[[#This Row],[Customers]]</f>
        <v>7.415</v>
      </c>
      <c r="J16" s="2">
        <f>tips[[#This Row],[tip]]/tips[[#This Row],[Customers]]</f>
        <v>1.51</v>
      </c>
    </row>
    <row r="17" spans="1:10" x14ac:dyDescent="0.25">
      <c r="A17" s="2">
        <v>21.58</v>
      </c>
      <c r="B17" s="2">
        <v>3.92</v>
      </c>
      <c r="C17" s="1" t="s">
        <v>10</v>
      </c>
      <c r="D17" s="1" t="s">
        <v>7</v>
      </c>
      <c r="E17" s="1" t="s">
        <v>8</v>
      </c>
      <c r="F17" s="1" t="s">
        <v>9</v>
      </c>
      <c r="G17">
        <v>2</v>
      </c>
      <c r="H17" s="3">
        <f>tips[[#This Row],[tip]]/tips[[#This Row],[total_bill]]</f>
        <v>0.18164967562557924</v>
      </c>
      <c r="I17" s="2">
        <f>tips[[#This Row],[total_bill]]/tips[[#This Row],[Customers]]</f>
        <v>10.79</v>
      </c>
      <c r="J17" s="2">
        <f>tips[[#This Row],[tip]]/tips[[#This Row],[Customers]]</f>
        <v>1.96</v>
      </c>
    </row>
    <row r="18" spans="1:10" x14ac:dyDescent="0.25">
      <c r="A18" s="2">
        <v>10.33</v>
      </c>
      <c r="B18" s="2">
        <v>1.67</v>
      </c>
      <c r="C18" s="1" t="s">
        <v>6</v>
      </c>
      <c r="D18" s="1" t="s">
        <v>7</v>
      </c>
      <c r="E18" s="1" t="s">
        <v>8</v>
      </c>
      <c r="F18" s="1" t="s">
        <v>9</v>
      </c>
      <c r="G18">
        <v>3</v>
      </c>
      <c r="H18" s="3">
        <f>tips[[#This Row],[tip]]/tips[[#This Row],[total_bill]]</f>
        <v>0.16166505324298161</v>
      </c>
      <c r="I18" s="2">
        <f>tips[[#This Row],[total_bill]]/tips[[#This Row],[Customers]]</f>
        <v>3.4433333333333334</v>
      </c>
      <c r="J18" s="2">
        <f>tips[[#This Row],[tip]]/tips[[#This Row],[Customers]]</f>
        <v>0.55666666666666664</v>
      </c>
    </row>
    <row r="19" spans="1:10" x14ac:dyDescent="0.25">
      <c r="A19" s="2">
        <v>16.29</v>
      </c>
      <c r="B19" s="2">
        <v>3.71</v>
      </c>
      <c r="C19" s="1" t="s">
        <v>10</v>
      </c>
      <c r="D19" s="1" t="s">
        <v>7</v>
      </c>
      <c r="E19" s="1" t="s">
        <v>8</v>
      </c>
      <c r="F19" s="1" t="s">
        <v>9</v>
      </c>
      <c r="G19">
        <v>3</v>
      </c>
      <c r="H19" s="3">
        <f>tips[[#This Row],[tip]]/tips[[#This Row],[total_bill]]</f>
        <v>0.22774708410067526</v>
      </c>
      <c r="I19" s="2">
        <f>tips[[#This Row],[total_bill]]/tips[[#This Row],[Customers]]</f>
        <v>5.43</v>
      </c>
      <c r="J19" s="2">
        <f>tips[[#This Row],[tip]]/tips[[#This Row],[Customers]]</f>
        <v>1.2366666666666666</v>
      </c>
    </row>
    <row r="20" spans="1:10" x14ac:dyDescent="0.25">
      <c r="A20" s="2">
        <v>16.97</v>
      </c>
      <c r="B20" s="2">
        <v>3.5</v>
      </c>
      <c r="C20" s="1" t="s">
        <v>6</v>
      </c>
      <c r="D20" s="1" t="s">
        <v>7</v>
      </c>
      <c r="E20" s="1" t="s">
        <v>8</v>
      </c>
      <c r="F20" s="1" t="s">
        <v>9</v>
      </c>
      <c r="G20">
        <v>3</v>
      </c>
      <c r="H20" s="3">
        <f>tips[[#This Row],[tip]]/tips[[#This Row],[total_bill]]</f>
        <v>0.20624631703005306</v>
      </c>
      <c r="I20" s="2">
        <f>tips[[#This Row],[total_bill]]/tips[[#This Row],[Customers]]</f>
        <v>5.6566666666666663</v>
      </c>
      <c r="J20" s="2">
        <f>tips[[#This Row],[tip]]/tips[[#This Row],[Customers]]</f>
        <v>1.1666666666666667</v>
      </c>
    </row>
    <row r="21" spans="1:10" x14ac:dyDescent="0.25">
      <c r="A21" s="2">
        <v>20.65</v>
      </c>
      <c r="B21" s="2">
        <v>3.35</v>
      </c>
      <c r="C21" s="1" t="s">
        <v>10</v>
      </c>
      <c r="D21" s="1" t="s">
        <v>7</v>
      </c>
      <c r="E21" s="1" t="s">
        <v>11</v>
      </c>
      <c r="F21" s="1" t="s">
        <v>9</v>
      </c>
      <c r="G21">
        <v>3</v>
      </c>
      <c r="H21" s="3">
        <f>tips[[#This Row],[tip]]/tips[[#This Row],[total_bill]]</f>
        <v>0.16222760290556903</v>
      </c>
      <c r="I21" s="2">
        <f>tips[[#This Row],[total_bill]]/tips[[#This Row],[Customers]]</f>
        <v>6.8833333333333329</v>
      </c>
      <c r="J21" s="2">
        <f>tips[[#This Row],[tip]]/tips[[#This Row],[Customers]]</f>
        <v>1.1166666666666667</v>
      </c>
    </row>
    <row r="22" spans="1:10" x14ac:dyDescent="0.25">
      <c r="A22" s="2">
        <v>17.920000000000002</v>
      </c>
      <c r="B22" s="2">
        <v>4.08</v>
      </c>
      <c r="C22" s="1" t="s">
        <v>10</v>
      </c>
      <c r="D22" s="1" t="s">
        <v>7</v>
      </c>
      <c r="E22" s="1" t="s">
        <v>11</v>
      </c>
      <c r="F22" s="1" t="s">
        <v>9</v>
      </c>
      <c r="G22">
        <v>2</v>
      </c>
      <c r="H22" s="3">
        <f>tips[[#This Row],[tip]]/tips[[#This Row],[total_bill]]</f>
        <v>0.22767857142857142</v>
      </c>
      <c r="I22" s="2">
        <f>tips[[#This Row],[total_bill]]/tips[[#This Row],[Customers]]</f>
        <v>8.9600000000000009</v>
      </c>
      <c r="J22" s="2">
        <f>tips[[#This Row],[tip]]/tips[[#This Row],[Customers]]</f>
        <v>2.04</v>
      </c>
    </row>
    <row r="23" spans="1:10" x14ac:dyDescent="0.25">
      <c r="A23" s="2">
        <v>20.29</v>
      </c>
      <c r="B23" s="2">
        <v>2.75</v>
      </c>
      <c r="C23" s="1" t="s">
        <v>6</v>
      </c>
      <c r="D23" s="1" t="s">
        <v>7</v>
      </c>
      <c r="E23" s="1" t="s">
        <v>11</v>
      </c>
      <c r="F23" s="1" t="s">
        <v>9</v>
      </c>
      <c r="G23">
        <v>2</v>
      </c>
      <c r="H23" s="3">
        <f>tips[[#This Row],[tip]]/tips[[#This Row],[total_bill]]</f>
        <v>0.13553474618038444</v>
      </c>
      <c r="I23" s="2">
        <f>tips[[#This Row],[total_bill]]/tips[[#This Row],[Customers]]</f>
        <v>10.145</v>
      </c>
      <c r="J23" s="2">
        <f>tips[[#This Row],[tip]]/tips[[#This Row],[Customers]]</f>
        <v>1.375</v>
      </c>
    </row>
    <row r="24" spans="1:10" x14ac:dyDescent="0.25">
      <c r="A24" s="2">
        <v>15.77</v>
      </c>
      <c r="B24" s="2">
        <v>2.23</v>
      </c>
      <c r="C24" s="1" t="s">
        <v>6</v>
      </c>
      <c r="D24" s="1" t="s">
        <v>7</v>
      </c>
      <c r="E24" s="1" t="s">
        <v>11</v>
      </c>
      <c r="F24" s="1" t="s">
        <v>9</v>
      </c>
      <c r="G24">
        <v>2</v>
      </c>
      <c r="H24" s="3">
        <f>tips[[#This Row],[tip]]/tips[[#This Row],[total_bill]]</f>
        <v>0.14140773620798985</v>
      </c>
      <c r="I24" s="2">
        <f>tips[[#This Row],[total_bill]]/tips[[#This Row],[Customers]]</f>
        <v>7.8849999999999998</v>
      </c>
      <c r="J24" s="2">
        <f>tips[[#This Row],[tip]]/tips[[#This Row],[Customers]]</f>
        <v>1.115</v>
      </c>
    </row>
    <row r="25" spans="1:10" x14ac:dyDescent="0.25">
      <c r="A25" s="2">
        <v>39.42</v>
      </c>
      <c r="B25" s="2">
        <v>7.58</v>
      </c>
      <c r="C25" s="1" t="s">
        <v>10</v>
      </c>
      <c r="D25" s="1" t="s">
        <v>7</v>
      </c>
      <c r="E25" s="1" t="s">
        <v>11</v>
      </c>
      <c r="F25" s="1" t="s">
        <v>9</v>
      </c>
      <c r="G25">
        <v>4</v>
      </c>
      <c r="H25" s="3">
        <f>tips[[#This Row],[tip]]/tips[[#This Row],[total_bill]]</f>
        <v>0.19228817858954844</v>
      </c>
      <c r="I25" s="2">
        <f>tips[[#This Row],[total_bill]]/tips[[#This Row],[Customers]]</f>
        <v>9.8550000000000004</v>
      </c>
      <c r="J25" s="2">
        <f>tips[[#This Row],[tip]]/tips[[#This Row],[Customers]]</f>
        <v>1.895</v>
      </c>
    </row>
    <row r="26" spans="1:10" x14ac:dyDescent="0.25">
      <c r="A26" s="2">
        <v>19.82</v>
      </c>
      <c r="B26" s="2">
        <v>3.18</v>
      </c>
      <c r="C26" s="1" t="s">
        <v>10</v>
      </c>
      <c r="D26" s="1" t="s">
        <v>7</v>
      </c>
      <c r="E26" s="1" t="s">
        <v>11</v>
      </c>
      <c r="F26" s="1" t="s">
        <v>9</v>
      </c>
      <c r="G26">
        <v>2</v>
      </c>
      <c r="H26" s="3">
        <f>tips[[#This Row],[tip]]/tips[[#This Row],[total_bill]]</f>
        <v>0.16044399596367306</v>
      </c>
      <c r="I26" s="2">
        <f>tips[[#This Row],[total_bill]]/tips[[#This Row],[Customers]]</f>
        <v>9.91</v>
      </c>
      <c r="J26" s="2">
        <f>tips[[#This Row],[tip]]/tips[[#This Row],[Customers]]</f>
        <v>1.59</v>
      </c>
    </row>
    <row r="27" spans="1:10" x14ac:dyDescent="0.25">
      <c r="A27" s="2">
        <v>17.809999999999999</v>
      </c>
      <c r="B27" s="2">
        <v>2.34</v>
      </c>
      <c r="C27" s="1" t="s">
        <v>10</v>
      </c>
      <c r="D27" s="1" t="s">
        <v>7</v>
      </c>
      <c r="E27" s="1" t="s">
        <v>11</v>
      </c>
      <c r="F27" s="1" t="s">
        <v>9</v>
      </c>
      <c r="G27">
        <v>4</v>
      </c>
      <c r="H27" s="3">
        <f>tips[[#This Row],[tip]]/tips[[#This Row],[total_bill]]</f>
        <v>0.13138686131386862</v>
      </c>
      <c r="I27" s="2">
        <f>tips[[#This Row],[total_bill]]/tips[[#This Row],[Customers]]</f>
        <v>4.4524999999999997</v>
      </c>
      <c r="J27" s="2">
        <f>tips[[#This Row],[tip]]/tips[[#This Row],[Customers]]</f>
        <v>0.58499999999999996</v>
      </c>
    </row>
    <row r="28" spans="1:10" x14ac:dyDescent="0.25">
      <c r="A28" s="2">
        <v>13.37</v>
      </c>
      <c r="B28" s="2">
        <v>2</v>
      </c>
      <c r="C28" s="1" t="s">
        <v>10</v>
      </c>
      <c r="D28" s="1" t="s">
        <v>7</v>
      </c>
      <c r="E28" s="1" t="s">
        <v>11</v>
      </c>
      <c r="F28" s="1" t="s">
        <v>9</v>
      </c>
      <c r="G28">
        <v>2</v>
      </c>
      <c r="H28" s="3">
        <f>tips[[#This Row],[tip]]/tips[[#This Row],[total_bill]]</f>
        <v>0.14958863126402394</v>
      </c>
      <c r="I28" s="2">
        <f>tips[[#This Row],[total_bill]]/tips[[#This Row],[Customers]]</f>
        <v>6.6849999999999996</v>
      </c>
      <c r="J28" s="2">
        <f>tips[[#This Row],[tip]]/tips[[#This Row],[Customers]]</f>
        <v>1</v>
      </c>
    </row>
    <row r="29" spans="1:10" x14ac:dyDescent="0.25">
      <c r="A29" s="2">
        <v>12.69</v>
      </c>
      <c r="B29" s="2">
        <v>2</v>
      </c>
      <c r="C29" s="1" t="s">
        <v>10</v>
      </c>
      <c r="D29" s="1" t="s">
        <v>7</v>
      </c>
      <c r="E29" s="1" t="s">
        <v>11</v>
      </c>
      <c r="F29" s="1" t="s">
        <v>9</v>
      </c>
      <c r="G29">
        <v>2</v>
      </c>
      <c r="H29" s="3">
        <f>tips[[#This Row],[tip]]/tips[[#This Row],[total_bill]]</f>
        <v>0.15760441292356187</v>
      </c>
      <c r="I29" s="2">
        <f>tips[[#This Row],[total_bill]]/tips[[#This Row],[Customers]]</f>
        <v>6.3449999999999998</v>
      </c>
      <c r="J29" s="2">
        <f>tips[[#This Row],[tip]]/tips[[#This Row],[Customers]]</f>
        <v>1</v>
      </c>
    </row>
    <row r="30" spans="1:10" x14ac:dyDescent="0.25">
      <c r="A30" s="2">
        <v>21.7</v>
      </c>
      <c r="B30" s="2">
        <v>4.3</v>
      </c>
      <c r="C30" s="1" t="s">
        <v>10</v>
      </c>
      <c r="D30" s="1" t="s">
        <v>7</v>
      </c>
      <c r="E30" s="1" t="s">
        <v>11</v>
      </c>
      <c r="F30" s="1" t="s">
        <v>9</v>
      </c>
      <c r="G30">
        <v>2</v>
      </c>
      <c r="H30" s="3">
        <f>tips[[#This Row],[tip]]/tips[[#This Row],[total_bill]]</f>
        <v>0.19815668202764977</v>
      </c>
      <c r="I30" s="2">
        <f>tips[[#This Row],[total_bill]]/tips[[#This Row],[Customers]]</f>
        <v>10.85</v>
      </c>
      <c r="J30" s="2">
        <f>tips[[#This Row],[tip]]/tips[[#This Row],[Customers]]</f>
        <v>2.15</v>
      </c>
    </row>
    <row r="31" spans="1:10" x14ac:dyDescent="0.25">
      <c r="A31" s="2">
        <v>19.649999999999999</v>
      </c>
      <c r="B31" s="2">
        <v>3</v>
      </c>
      <c r="C31" s="1" t="s">
        <v>6</v>
      </c>
      <c r="D31" s="1" t="s">
        <v>7</v>
      </c>
      <c r="E31" s="1" t="s">
        <v>11</v>
      </c>
      <c r="F31" s="1" t="s">
        <v>9</v>
      </c>
      <c r="G31">
        <v>2</v>
      </c>
      <c r="H31" s="3">
        <f>tips[[#This Row],[tip]]/tips[[#This Row],[total_bill]]</f>
        <v>0.15267175572519084</v>
      </c>
      <c r="I31" s="2">
        <f>tips[[#This Row],[total_bill]]/tips[[#This Row],[Customers]]</f>
        <v>9.8249999999999993</v>
      </c>
      <c r="J31" s="2">
        <f>tips[[#This Row],[tip]]/tips[[#This Row],[Customers]]</f>
        <v>1.5</v>
      </c>
    </row>
    <row r="32" spans="1:10" x14ac:dyDescent="0.25">
      <c r="A32" s="2">
        <v>9.5500000000000007</v>
      </c>
      <c r="B32" s="2">
        <v>1.45</v>
      </c>
      <c r="C32" s="1" t="s">
        <v>10</v>
      </c>
      <c r="D32" s="1" t="s">
        <v>7</v>
      </c>
      <c r="E32" s="1" t="s">
        <v>11</v>
      </c>
      <c r="F32" s="1" t="s">
        <v>9</v>
      </c>
      <c r="G32">
        <v>2</v>
      </c>
      <c r="H32" s="3">
        <f>tips[[#This Row],[tip]]/tips[[#This Row],[total_bill]]</f>
        <v>0.15183246073298429</v>
      </c>
      <c r="I32" s="2">
        <f>tips[[#This Row],[total_bill]]/tips[[#This Row],[Customers]]</f>
        <v>4.7750000000000004</v>
      </c>
      <c r="J32" s="2">
        <f>tips[[#This Row],[tip]]/tips[[#This Row],[Customers]]</f>
        <v>0.72499999999999998</v>
      </c>
    </row>
    <row r="33" spans="1:10" x14ac:dyDescent="0.25">
      <c r="A33" s="2">
        <v>18.350000000000001</v>
      </c>
      <c r="B33" s="2">
        <v>2.5</v>
      </c>
      <c r="C33" s="1" t="s">
        <v>10</v>
      </c>
      <c r="D33" s="1" t="s">
        <v>7</v>
      </c>
      <c r="E33" s="1" t="s">
        <v>11</v>
      </c>
      <c r="F33" s="1" t="s">
        <v>9</v>
      </c>
      <c r="G33">
        <v>4</v>
      </c>
      <c r="H33" s="3">
        <f>tips[[#This Row],[tip]]/tips[[#This Row],[total_bill]]</f>
        <v>0.13623978201634876</v>
      </c>
      <c r="I33" s="2">
        <f>tips[[#This Row],[total_bill]]/tips[[#This Row],[Customers]]</f>
        <v>4.5875000000000004</v>
      </c>
      <c r="J33" s="2">
        <f>tips[[#This Row],[tip]]/tips[[#This Row],[Customers]]</f>
        <v>0.625</v>
      </c>
    </row>
    <row r="34" spans="1:10" x14ac:dyDescent="0.25">
      <c r="A34" s="2">
        <v>15.06</v>
      </c>
      <c r="B34" s="2">
        <v>3</v>
      </c>
      <c r="C34" s="1" t="s">
        <v>6</v>
      </c>
      <c r="D34" s="1" t="s">
        <v>7</v>
      </c>
      <c r="E34" s="1" t="s">
        <v>11</v>
      </c>
      <c r="F34" s="1" t="s">
        <v>9</v>
      </c>
      <c r="G34">
        <v>2</v>
      </c>
      <c r="H34" s="3">
        <f>tips[[#This Row],[tip]]/tips[[#This Row],[total_bill]]</f>
        <v>0.19920318725099601</v>
      </c>
      <c r="I34" s="2">
        <f>tips[[#This Row],[total_bill]]/tips[[#This Row],[Customers]]</f>
        <v>7.53</v>
      </c>
      <c r="J34" s="2">
        <f>tips[[#This Row],[tip]]/tips[[#This Row],[Customers]]</f>
        <v>1.5</v>
      </c>
    </row>
    <row r="35" spans="1:10" x14ac:dyDescent="0.25">
      <c r="A35" s="2">
        <v>20.69</v>
      </c>
      <c r="B35" s="2">
        <v>2.4500000000000002</v>
      </c>
      <c r="C35" s="1" t="s">
        <v>6</v>
      </c>
      <c r="D35" s="1" t="s">
        <v>7</v>
      </c>
      <c r="E35" s="1" t="s">
        <v>11</v>
      </c>
      <c r="F35" s="1" t="s">
        <v>9</v>
      </c>
      <c r="G35">
        <v>4</v>
      </c>
      <c r="H35" s="3">
        <f>tips[[#This Row],[tip]]/tips[[#This Row],[total_bill]]</f>
        <v>0.11841469308844853</v>
      </c>
      <c r="I35" s="2">
        <f>tips[[#This Row],[total_bill]]/tips[[#This Row],[Customers]]</f>
        <v>5.1725000000000003</v>
      </c>
      <c r="J35" s="2">
        <f>tips[[#This Row],[tip]]/tips[[#This Row],[Customers]]</f>
        <v>0.61250000000000004</v>
      </c>
    </row>
    <row r="36" spans="1:10" x14ac:dyDescent="0.25">
      <c r="A36" s="2">
        <v>17.78</v>
      </c>
      <c r="B36" s="2">
        <v>3.27</v>
      </c>
      <c r="C36" s="1" t="s">
        <v>10</v>
      </c>
      <c r="D36" s="1" t="s">
        <v>7</v>
      </c>
      <c r="E36" s="1" t="s">
        <v>11</v>
      </c>
      <c r="F36" s="1" t="s">
        <v>9</v>
      </c>
      <c r="G36">
        <v>2</v>
      </c>
      <c r="H36" s="3">
        <f>tips[[#This Row],[tip]]/tips[[#This Row],[total_bill]]</f>
        <v>0.18391451068616421</v>
      </c>
      <c r="I36" s="2">
        <f>tips[[#This Row],[total_bill]]/tips[[#This Row],[Customers]]</f>
        <v>8.89</v>
      </c>
      <c r="J36" s="2">
        <f>tips[[#This Row],[tip]]/tips[[#This Row],[Customers]]</f>
        <v>1.635</v>
      </c>
    </row>
    <row r="37" spans="1:10" x14ac:dyDescent="0.25">
      <c r="A37" s="2">
        <v>24.06</v>
      </c>
      <c r="B37" s="2">
        <v>3.6</v>
      </c>
      <c r="C37" s="1" t="s">
        <v>10</v>
      </c>
      <c r="D37" s="1" t="s">
        <v>7</v>
      </c>
      <c r="E37" s="1" t="s">
        <v>11</v>
      </c>
      <c r="F37" s="1" t="s">
        <v>9</v>
      </c>
      <c r="G37">
        <v>3</v>
      </c>
      <c r="H37" s="3">
        <f>tips[[#This Row],[tip]]/tips[[#This Row],[total_bill]]</f>
        <v>0.14962593516209477</v>
      </c>
      <c r="I37" s="2">
        <f>tips[[#This Row],[total_bill]]/tips[[#This Row],[Customers]]</f>
        <v>8.02</v>
      </c>
      <c r="J37" s="2">
        <f>tips[[#This Row],[tip]]/tips[[#This Row],[Customers]]</f>
        <v>1.2</v>
      </c>
    </row>
    <row r="38" spans="1:10" x14ac:dyDescent="0.25">
      <c r="A38" s="2">
        <v>16.309999999999999</v>
      </c>
      <c r="B38" s="2">
        <v>2</v>
      </c>
      <c r="C38" s="1" t="s">
        <v>10</v>
      </c>
      <c r="D38" s="1" t="s">
        <v>7</v>
      </c>
      <c r="E38" s="1" t="s">
        <v>11</v>
      </c>
      <c r="F38" s="1" t="s">
        <v>9</v>
      </c>
      <c r="G38">
        <v>3</v>
      </c>
      <c r="H38" s="3">
        <f>tips[[#This Row],[tip]]/tips[[#This Row],[total_bill]]</f>
        <v>0.12262415695892091</v>
      </c>
      <c r="I38" s="2">
        <f>tips[[#This Row],[total_bill]]/tips[[#This Row],[Customers]]</f>
        <v>5.4366666666666665</v>
      </c>
      <c r="J38" s="2">
        <f>tips[[#This Row],[tip]]/tips[[#This Row],[Customers]]</f>
        <v>0.66666666666666663</v>
      </c>
    </row>
    <row r="39" spans="1:10" x14ac:dyDescent="0.25">
      <c r="A39" s="2">
        <v>16.93</v>
      </c>
      <c r="B39" s="2">
        <v>3.07</v>
      </c>
      <c r="C39" s="1" t="s">
        <v>6</v>
      </c>
      <c r="D39" s="1" t="s">
        <v>7</v>
      </c>
      <c r="E39" s="1" t="s">
        <v>11</v>
      </c>
      <c r="F39" s="1" t="s">
        <v>9</v>
      </c>
      <c r="G39">
        <v>3</v>
      </c>
      <c r="H39" s="3">
        <f>tips[[#This Row],[tip]]/tips[[#This Row],[total_bill]]</f>
        <v>0.1813349084465446</v>
      </c>
      <c r="I39" s="2">
        <f>tips[[#This Row],[total_bill]]/tips[[#This Row],[Customers]]</f>
        <v>5.6433333333333335</v>
      </c>
      <c r="J39" s="2">
        <f>tips[[#This Row],[tip]]/tips[[#This Row],[Customers]]</f>
        <v>1.0233333333333332</v>
      </c>
    </row>
    <row r="40" spans="1:10" x14ac:dyDescent="0.25">
      <c r="A40" s="2">
        <v>18.690000000000001</v>
      </c>
      <c r="B40" s="2">
        <v>2.31</v>
      </c>
      <c r="C40" s="1" t="s">
        <v>10</v>
      </c>
      <c r="D40" s="1" t="s">
        <v>7</v>
      </c>
      <c r="E40" s="1" t="s">
        <v>11</v>
      </c>
      <c r="F40" s="1" t="s">
        <v>9</v>
      </c>
      <c r="G40">
        <v>3</v>
      </c>
      <c r="H40" s="3">
        <f>tips[[#This Row],[tip]]/tips[[#This Row],[total_bill]]</f>
        <v>0.12359550561797752</v>
      </c>
      <c r="I40" s="2">
        <f>tips[[#This Row],[total_bill]]/tips[[#This Row],[Customers]]</f>
        <v>6.23</v>
      </c>
      <c r="J40" s="2">
        <f>tips[[#This Row],[tip]]/tips[[#This Row],[Customers]]</f>
        <v>0.77</v>
      </c>
    </row>
    <row r="41" spans="1:10" x14ac:dyDescent="0.25">
      <c r="A41" s="2">
        <v>31.27</v>
      </c>
      <c r="B41" s="2">
        <v>5</v>
      </c>
      <c r="C41" s="1" t="s">
        <v>10</v>
      </c>
      <c r="D41" s="1" t="s">
        <v>7</v>
      </c>
      <c r="E41" s="1" t="s">
        <v>11</v>
      </c>
      <c r="F41" s="1" t="s">
        <v>9</v>
      </c>
      <c r="G41">
        <v>3</v>
      </c>
      <c r="H41" s="3">
        <f>tips[[#This Row],[tip]]/tips[[#This Row],[total_bill]]</f>
        <v>0.1598976654940838</v>
      </c>
      <c r="I41" s="2">
        <f>tips[[#This Row],[total_bill]]/tips[[#This Row],[Customers]]</f>
        <v>10.423333333333334</v>
      </c>
      <c r="J41" s="2">
        <f>tips[[#This Row],[tip]]/tips[[#This Row],[Customers]]</f>
        <v>1.6666666666666667</v>
      </c>
    </row>
    <row r="42" spans="1:10" x14ac:dyDescent="0.25">
      <c r="A42" s="2">
        <v>16.04</v>
      </c>
      <c r="B42" s="2">
        <v>2.2400000000000002</v>
      </c>
      <c r="C42" s="1" t="s">
        <v>10</v>
      </c>
      <c r="D42" s="1" t="s">
        <v>7</v>
      </c>
      <c r="E42" s="1" t="s">
        <v>11</v>
      </c>
      <c r="F42" s="1" t="s">
        <v>9</v>
      </c>
      <c r="G42">
        <v>3</v>
      </c>
      <c r="H42" s="3">
        <f>tips[[#This Row],[tip]]/tips[[#This Row],[total_bill]]</f>
        <v>0.13965087281795513</v>
      </c>
      <c r="I42" s="2">
        <f>tips[[#This Row],[total_bill]]/tips[[#This Row],[Customers]]</f>
        <v>5.3466666666666667</v>
      </c>
      <c r="J42" s="2">
        <f>tips[[#This Row],[tip]]/tips[[#This Row],[Customers]]</f>
        <v>0.7466666666666667</v>
      </c>
    </row>
    <row r="43" spans="1:10" x14ac:dyDescent="0.25">
      <c r="A43" s="2">
        <v>17.46</v>
      </c>
      <c r="B43" s="2">
        <v>2.54</v>
      </c>
      <c r="C43" s="1" t="s">
        <v>10</v>
      </c>
      <c r="D43" s="1" t="s">
        <v>7</v>
      </c>
      <c r="E43" s="1" t="s">
        <v>8</v>
      </c>
      <c r="F43" s="1" t="s">
        <v>9</v>
      </c>
      <c r="G43">
        <v>2</v>
      </c>
      <c r="H43" s="3">
        <f>tips[[#This Row],[tip]]/tips[[#This Row],[total_bill]]</f>
        <v>0.14547537227949597</v>
      </c>
      <c r="I43" s="2">
        <f>tips[[#This Row],[total_bill]]/tips[[#This Row],[Customers]]</f>
        <v>8.73</v>
      </c>
      <c r="J43" s="2">
        <f>tips[[#This Row],[tip]]/tips[[#This Row],[Customers]]</f>
        <v>1.27</v>
      </c>
    </row>
    <row r="44" spans="1:10" x14ac:dyDescent="0.25">
      <c r="A44" s="2">
        <v>13.94</v>
      </c>
      <c r="B44" s="2">
        <v>3.06</v>
      </c>
      <c r="C44" s="1" t="s">
        <v>10</v>
      </c>
      <c r="D44" s="1" t="s">
        <v>7</v>
      </c>
      <c r="E44" s="1" t="s">
        <v>8</v>
      </c>
      <c r="F44" s="1" t="s">
        <v>9</v>
      </c>
      <c r="G44">
        <v>2</v>
      </c>
      <c r="H44" s="3">
        <f>tips[[#This Row],[tip]]/tips[[#This Row],[total_bill]]</f>
        <v>0.21951219512195122</v>
      </c>
      <c r="I44" s="2">
        <f>tips[[#This Row],[total_bill]]/tips[[#This Row],[Customers]]</f>
        <v>6.97</v>
      </c>
      <c r="J44" s="2">
        <f>tips[[#This Row],[tip]]/tips[[#This Row],[Customers]]</f>
        <v>1.53</v>
      </c>
    </row>
    <row r="45" spans="1:10" x14ac:dyDescent="0.25">
      <c r="A45" s="2">
        <v>9.68</v>
      </c>
      <c r="B45" s="2">
        <v>1.32</v>
      </c>
      <c r="C45" s="1" t="s">
        <v>10</v>
      </c>
      <c r="D45" s="1" t="s">
        <v>7</v>
      </c>
      <c r="E45" s="1" t="s">
        <v>8</v>
      </c>
      <c r="F45" s="1" t="s">
        <v>9</v>
      </c>
      <c r="G45">
        <v>2</v>
      </c>
      <c r="H45" s="3">
        <f>tips[[#This Row],[tip]]/tips[[#This Row],[total_bill]]</f>
        <v>0.13636363636363638</v>
      </c>
      <c r="I45" s="2">
        <f>tips[[#This Row],[total_bill]]/tips[[#This Row],[Customers]]</f>
        <v>4.84</v>
      </c>
      <c r="J45" s="2">
        <f>tips[[#This Row],[tip]]/tips[[#This Row],[Customers]]</f>
        <v>0.66</v>
      </c>
    </row>
    <row r="46" spans="1:10" x14ac:dyDescent="0.25">
      <c r="A46" s="2">
        <v>30.4</v>
      </c>
      <c r="B46" s="2">
        <v>5.6</v>
      </c>
      <c r="C46" s="1" t="s">
        <v>10</v>
      </c>
      <c r="D46" s="1" t="s">
        <v>7</v>
      </c>
      <c r="E46" s="1" t="s">
        <v>8</v>
      </c>
      <c r="F46" s="1" t="s">
        <v>9</v>
      </c>
      <c r="G46">
        <v>4</v>
      </c>
      <c r="H46" s="3">
        <f>tips[[#This Row],[tip]]/tips[[#This Row],[total_bill]]</f>
        <v>0.18421052631578946</v>
      </c>
      <c r="I46" s="2">
        <f>tips[[#This Row],[total_bill]]/tips[[#This Row],[Customers]]</f>
        <v>7.6</v>
      </c>
      <c r="J46" s="2">
        <f>tips[[#This Row],[tip]]/tips[[#This Row],[Customers]]</f>
        <v>1.4</v>
      </c>
    </row>
    <row r="47" spans="1:10" x14ac:dyDescent="0.25">
      <c r="A47" s="2">
        <v>18.29</v>
      </c>
      <c r="B47" s="2">
        <v>3</v>
      </c>
      <c r="C47" s="1" t="s">
        <v>10</v>
      </c>
      <c r="D47" s="1" t="s">
        <v>7</v>
      </c>
      <c r="E47" s="1" t="s">
        <v>8</v>
      </c>
      <c r="F47" s="1" t="s">
        <v>9</v>
      </c>
      <c r="G47">
        <v>2</v>
      </c>
      <c r="H47" s="3">
        <f>tips[[#This Row],[tip]]/tips[[#This Row],[total_bill]]</f>
        <v>0.16402405686167304</v>
      </c>
      <c r="I47" s="2">
        <f>tips[[#This Row],[total_bill]]/tips[[#This Row],[Customers]]</f>
        <v>9.1449999999999996</v>
      </c>
      <c r="J47" s="2">
        <f>tips[[#This Row],[tip]]/tips[[#This Row],[Customers]]</f>
        <v>1.5</v>
      </c>
    </row>
    <row r="48" spans="1:10" x14ac:dyDescent="0.25">
      <c r="A48" s="2">
        <v>22.23</v>
      </c>
      <c r="B48" s="2">
        <v>5</v>
      </c>
      <c r="C48" s="1" t="s">
        <v>10</v>
      </c>
      <c r="D48" s="1" t="s">
        <v>7</v>
      </c>
      <c r="E48" s="1" t="s">
        <v>8</v>
      </c>
      <c r="F48" s="1" t="s">
        <v>9</v>
      </c>
      <c r="G48">
        <v>2</v>
      </c>
      <c r="H48" s="3">
        <f>tips[[#This Row],[tip]]/tips[[#This Row],[total_bill]]</f>
        <v>0.22492127755285649</v>
      </c>
      <c r="I48" s="2">
        <f>tips[[#This Row],[total_bill]]/tips[[#This Row],[Customers]]</f>
        <v>11.115</v>
      </c>
      <c r="J48" s="2">
        <f>tips[[#This Row],[tip]]/tips[[#This Row],[Customers]]</f>
        <v>2.5</v>
      </c>
    </row>
    <row r="49" spans="1:10" x14ac:dyDescent="0.25">
      <c r="A49" s="2">
        <v>32.4</v>
      </c>
      <c r="B49" s="2">
        <v>6</v>
      </c>
      <c r="C49" s="1" t="s">
        <v>10</v>
      </c>
      <c r="D49" s="1" t="s">
        <v>7</v>
      </c>
      <c r="E49" s="1" t="s">
        <v>8</v>
      </c>
      <c r="F49" s="1" t="s">
        <v>9</v>
      </c>
      <c r="G49">
        <v>4</v>
      </c>
      <c r="H49" s="3">
        <f>tips[[#This Row],[tip]]/tips[[#This Row],[total_bill]]</f>
        <v>0.1851851851851852</v>
      </c>
      <c r="I49" s="2">
        <f>tips[[#This Row],[total_bill]]/tips[[#This Row],[Customers]]</f>
        <v>8.1</v>
      </c>
      <c r="J49" s="2">
        <f>tips[[#This Row],[tip]]/tips[[#This Row],[Customers]]</f>
        <v>1.5</v>
      </c>
    </row>
    <row r="50" spans="1:10" x14ac:dyDescent="0.25">
      <c r="A50" s="2">
        <v>28.55</v>
      </c>
      <c r="B50" s="2">
        <v>2.0499999999999998</v>
      </c>
      <c r="C50" s="1" t="s">
        <v>10</v>
      </c>
      <c r="D50" s="1" t="s">
        <v>7</v>
      </c>
      <c r="E50" s="1" t="s">
        <v>8</v>
      </c>
      <c r="F50" s="1" t="s">
        <v>9</v>
      </c>
      <c r="G50">
        <v>3</v>
      </c>
      <c r="H50" s="3">
        <f>tips[[#This Row],[tip]]/tips[[#This Row],[total_bill]]</f>
        <v>7.1803852889667244E-2</v>
      </c>
      <c r="I50" s="2">
        <f>tips[[#This Row],[total_bill]]/tips[[#This Row],[Customers]]</f>
        <v>9.5166666666666675</v>
      </c>
      <c r="J50" s="2">
        <f>tips[[#This Row],[tip]]/tips[[#This Row],[Customers]]</f>
        <v>0.68333333333333324</v>
      </c>
    </row>
    <row r="51" spans="1:10" x14ac:dyDescent="0.25">
      <c r="A51" s="2">
        <v>18.04</v>
      </c>
      <c r="B51" s="2">
        <v>3</v>
      </c>
      <c r="C51" s="1" t="s">
        <v>10</v>
      </c>
      <c r="D51" s="1" t="s">
        <v>7</v>
      </c>
      <c r="E51" s="1" t="s">
        <v>8</v>
      </c>
      <c r="F51" s="1" t="s">
        <v>9</v>
      </c>
      <c r="G51">
        <v>2</v>
      </c>
      <c r="H51" s="3">
        <f>tips[[#This Row],[tip]]/tips[[#This Row],[total_bill]]</f>
        <v>0.16629711751662973</v>
      </c>
      <c r="I51" s="2">
        <f>tips[[#This Row],[total_bill]]/tips[[#This Row],[Customers]]</f>
        <v>9.02</v>
      </c>
      <c r="J51" s="2">
        <f>tips[[#This Row],[tip]]/tips[[#This Row],[Customers]]</f>
        <v>1.5</v>
      </c>
    </row>
    <row r="52" spans="1:10" x14ac:dyDescent="0.25">
      <c r="A52" s="2">
        <v>12.54</v>
      </c>
      <c r="B52" s="2">
        <v>2.5</v>
      </c>
      <c r="C52" s="1" t="s">
        <v>10</v>
      </c>
      <c r="D52" s="1" t="s">
        <v>7</v>
      </c>
      <c r="E52" s="1" t="s">
        <v>8</v>
      </c>
      <c r="F52" s="1" t="s">
        <v>9</v>
      </c>
      <c r="G52">
        <v>2</v>
      </c>
      <c r="H52" s="3">
        <f>tips[[#This Row],[tip]]/tips[[#This Row],[total_bill]]</f>
        <v>0.19936204146730463</v>
      </c>
      <c r="I52" s="2">
        <f>tips[[#This Row],[total_bill]]/tips[[#This Row],[Customers]]</f>
        <v>6.27</v>
      </c>
      <c r="J52" s="2">
        <f>tips[[#This Row],[tip]]/tips[[#This Row],[Customers]]</f>
        <v>1.25</v>
      </c>
    </row>
    <row r="53" spans="1:10" x14ac:dyDescent="0.25">
      <c r="A53" s="2">
        <v>10.29</v>
      </c>
      <c r="B53" s="2">
        <v>2.6</v>
      </c>
      <c r="C53" s="1" t="s">
        <v>6</v>
      </c>
      <c r="D53" s="1" t="s">
        <v>7</v>
      </c>
      <c r="E53" s="1" t="s">
        <v>8</v>
      </c>
      <c r="F53" s="1" t="s">
        <v>9</v>
      </c>
      <c r="G53">
        <v>2</v>
      </c>
      <c r="H53" s="3">
        <f>tips[[#This Row],[tip]]/tips[[#This Row],[total_bill]]</f>
        <v>0.25267249757045679</v>
      </c>
      <c r="I53" s="2">
        <f>tips[[#This Row],[total_bill]]/tips[[#This Row],[Customers]]</f>
        <v>5.1449999999999996</v>
      </c>
      <c r="J53" s="2">
        <f>tips[[#This Row],[tip]]/tips[[#This Row],[Customers]]</f>
        <v>1.3</v>
      </c>
    </row>
    <row r="54" spans="1:10" x14ac:dyDescent="0.25">
      <c r="A54" s="2">
        <v>34.81</v>
      </c>
      <c r="B54" s="2">
        <v>5.2</v>
      </c>
      <c r="C54" s="1" t="s">
        <v>6</v>
      </c>
      <c r="D54" s="1" t="s">
        <v>7</v>
      </c>
      <c r="E54" s="1" t="s">
        <v>8</v>
      </c>
      <c r="F54" s="1" t="s">
        <v>9</v>
      </c>
      <c r="G54">
        <v>4</v>
      </c>
      <c r="H54" s="3">
        <f>tips[[#This Row],[tip]]/tips[[#This Row],[total_bill]]</f>
        <v>0.14938236139040506</v>
      </c>
      <c r="I54" s="2">
        <f>tips[[#This Row],[total_bill]]/tips[[#This Row],[Customers]]</f>
        <v>8.7025000000000006</v>
      </c>
      <c r="J54" s="2">
        <f>tips[[#This Row],[tip]]/tips[[#This Row],[Customers]]</f>
        <v>1.3</v>
      </c>
    </row>
    <row r="55" spans="1:10" x14ac:dyDescent="0.25">
      <c r="A55" s="2">
        <v>9.94</v>
      </c>
      <c r="B55" s="2">
        <v>1.56</v>
      </c>
      <c r="C55" s="1" t="s">
        <v>10</v>
      </c>
      <c r="D55" s="1" t="s">
        <v>7</v>
      </c>
      <c r="E55" s="1" t="s">
        <v>8</v>
      </c>
      <c r="F55" s="1" t="s">
        <v>9</v>
      </c>
      <c r="G55">
        <v>2</v>
      </c>
      <c r="H55" s="3">
        <f>tips[[#This Row],[tip]]/tips[[#This Row],[total_bill]]</f>
        <v>0.15694164989939638</v>
      </c>
      <c r="I55" s="2">
        <f>tips[[#This Row],[total_bill]]/tips[[#This Row],[Customers]]</f>
        <v>4.97</v>
      </c>
      <c r="J55" s="2">
        <f>tips[[#This Row],[tip]]/tips[[#This Row],[Customers]]</f>
        <v>0.78</v>
      </c>
    </row>
    <row r="56" spans="1:10" x14ac:dyDescent="0.25">
      <c r="A56" s="2">
        <v>25.56</v>
      </c>
      <c r="B56" s="2">
        <v>4.34</v>
      </c>
      <c r="C56" s="1" t="s">
        <v>10</v>
      </c>
      <c r="D56" s="1" t="s">
        <v>7</v>
      </c>
      <c r="E56" s="1" t="s">
        <v>8</v>
      </c>
      <c r="F56" s="1" t="s">
        <v>9</v>
      </c>
      <c r="G56">
        <v>4</v>
      </c>
      <c r="H56" s="3">
        <f>tips[[#This Row],[tip]]/tips[[#This Row],[total_bill]]</f>
        <v>0.16979655712050079</v>
      </c>
      <c r="I56" s="2">
        <f>tips[[#This Row],[total_bill]]/tips[[#This Row],[Customers]]</f>
        <v>6.39</v>
      </c>
      <c r="J56" s="2">
        <f>tips[[#This Row],[tip]]/tips[[#This Row],[Customers]]</f>
        <v>1.085</v>
      </c>
    </row>
    <row r="57" spans="1:10" x14ac:dyDescent="0.25">
      <c r="A57" s="2">
        <v>19.489999999999998</v>
      </c>
      <c r="B57" s="2">
        <v>3.51</v>
      </c>
      <c r="C57" s="1" t="s">
        <v>10</v>
      </c>
      <c r="D57" s="1" t="s">
        <v>7</v>
      </c>
      <c r="E57" s="1" t="s">
        <v>8</v>
      </c>
      <c r="F57" s="1" t="s">
        <v>9</v>
      </c>
      <c r="G57">
        <v>2</v>
      </c>
      <c r="H57" s="3">
        <f>tips[[#This Row],[tip]]/tips[[#This Row],[total_bill]]</f>
        <v>0.18009235505387378</v>
      </c>
      <c r="I57" s="2">
        <f>tips[[#This Row],[total_bill]]/tips[[#This Row],[Customers]]</f>
        <v>9.7449999999999992</v>
      </c>
      <c r="J57" s="2">
        <f>tips[[#This Row],[tip]]/tips[[#This Row],[Customers]]</f>
        <v>1.7549999999999999</v>
      </c>
    </row>
    <row r="58" spans="1:10" x14ac:dyDescent="0.25">
      <c r="A58" s="2">
        <v>38.01</v>
      </c>
      <c r="B58" s="2">
        <v>3</v>
      </c>
      <c r="C58" s="1" t="s">
        <v>10</v>
      </c>
      <c r="D58" s="1" t="s">
        <v>12</v>
      </c>
      <c r="E58" s="1" t="s">
        <v>11</v>
      </c>
      <c r="F58" s="1" t="s">
        <v>9</v>
      </c>
      <c r="G58">
        <v>4</v>
      </c>
      <c r="H58" s="3">
        <f>tips[[#This Row],[tip]]/tips[[#This Row],[total_bill]]</f>
        <v>7.8926598263614839E-2</v>
      </c>
      <c r="I58" s="2">
        <f>tips[[#This Row],[total_bill]]/tips[[#This Row],[Customers]]</f>
        <v>9.5024999999999995</v>
      </c>
      <c r="J58" s="2">
        <f>tips[[#This Row],[tip]]/tips[[#This Row],[Customers]]</f>
        <v>0.75</v>
      </c>
    </row>
    <row r="59" spans="1:10" x14ac:dyDescent="0.25">
      <c r="A59" s="2">
        <v>26.41</v>
      </c>
      <c r="B59" s="2">
        <v>1.5</v>
      </c>
      <c r="C59" s="1" t="s">
        <v>6</v>
      </c>
      <c r="D59" s="1" t="s">
        <v>7</v>
      </c>
      <c r="E59" s="1" t="s">
        <v>11</v>
      </c>
      <c r="F59" s="1" t="s">
        <v>9</v>
      </c>
      <c r="G59">
        <v>2</v>
      </c>
      <c r="H59" s="3">
        <f>tips[[#This Row],[tip]]/tips[[#This Row],[total_bill]]</f>
        <v>5.679666792881484E-2</v>
      </c>
      <c r="I59" s="2">
        <f>tips[[#This Row],[total_bill]]/tips[[#This Row],[Customers]]</f>
        <v>13.205</v>
      </c>
      <c r="J59" s="2">
        <f>tips[[#This Row],[tip]]/tips[[#This Row],[Customers]]</f>
        <v>0.75</v>
      </c>
    </row>
    <row r="60" spans="1:10" x14ac:dyDescent="0.25">
      <c r="A60" s="2">
        <v>11.24</v>
      </c>
      <c r="B60" s="2">
        <v>1.76</v>
      </c>
      <c r="C60" s="1" t="s">
        <v>10</v>
      </c>
      <c r="D60" s="1" t="s">
        <v>12</v>
      </c>
      <c r="E60" s="1" t="s">
        <v>11</v>
      </c>
      <c r="F60" s="1" t="s">
        <v>9</v>
      </c>
      <c r="G60">
        <v>2</v>
      </c>
      <c r="H60" s="3">
        <f>tips[[#This Row],[tip]]/tips[[#This Row],[total_bill]]</f>
        <v>0.15658362989323843</v>
      </c>
      <c r="I60" s="2">
        <f>tips[[#This Row],[total_bill]]/tips[[#This Row],[Customers]]</f>
        <v>5.62</v>
      </c>
      <c r="J60" s="2">
        <f>tips[[#This Row],[tip]]/tips[[#This Row],[Customers]]</f>
        <v>0.88</v>
      </c>
    </row>
    <row r="61" spans="1:10" x14ac:dyDescent="0.25">
      <c r="A61" s="2">
        <v>48.27</v>
      </c>
      <c r="B61" s="2">
        <v>6.73</v>
      </c>
      <c r="C61" s="1" t="s">
        <v>10</v>
      </c>
      <c r="D61" s="1" t="s">
        <v>7</v>
      </c>
      <c r="E61" s="1" t="s">
        <v>11</v>
      </c>
      <c r="F61" s="1" t="s">
        <v>9</v>
      </c>
      <c r="G61">
        <v>4</v>
      </c>
      <c r="H61" s="3">
        <f>tips[[#This Row],[tip]]/tips[[#This Row],[total_bill]]</f>
        <v>0.13942407292314066</v>
      </c>
      <c r="I61" s="2">
        <f>tips[[#This Row],[total_bill]]/tips[[#This Row],[Customers]]</f>
        <v>12.067500000000001</v>
      </c>
      <c r="J61" s="2">
        <f>tips[[#This Row],[tip]]/tips[[#This Row],[Customers]]</f>
        <v>1.6825000000000001</v>
      </c>
    </row>
    <row r="62" spans="1:10" x14ac:dyDescent="0.25">
      <c r="A62" s="2">
        <v>20.29</v>
      </c>
      <c r="B62" s="2">
        <v>3.21</v>
      </c>
      <c r="C62" s="1" t="s">
        <v>10</v>
      </c>
      <c r="D62" s="1" t="s">
        <v>12</v>
      </c>
      <c r="E62" s="1" t="s">
        <v>11</v>
      </c>
      <c r="F62" s="1" t="s">
        <v>9</v>
      </c>
      <c r="G62">
        <v>2</v>
      </c>
      <c r="H62" s="3">
        <f>tips[[#This Row],[tip]]/tips[[#This Row],[total_bill]]</f>
        <v>0.15820601281419419</v>
      </c>
      <c r="I62" s="2">
        <f>tips[[#This Row],[total_bill]]/tips[[#This Row],[Customers]]</f>
        <v>10.145</v>
      </c>
      <c r="J62" s="2">
        <f>tips[[#This Row],[tip]]/tips[[#This Row],[Customers]]</f>
        <v>1.605</v>
      </c>
    </row>
    <row r="63" spans="1:10" x14ac:dyDescent="0.25">
      <c r="A63" s="2">
        <v>13.81</v>
      </c>
      <c r="B63" s="2">
        <v>2</v>
      </c>
      <c r="C63" s="1" t="s">
        <v>10</v>
      </c>
      <c r="D63" s="1" t="s">
        <v>12</v>
      </c>
      <c r="E63" s="1" t="s">
        <v>11</v>
      </c>
      <c r="F63" s="1" t="s">
        <v>9</v>
      </c>
      <c r="G63">
        <v>2</v>
      </c>
      <c r="H63" s="3">
        <f>tips[[#This Row],[tip]]/tips[[#This Row],[total_bill]]</f>
        <v>0.14482259232440259</v>
      </c>
      <c r="I63" s="2">
        <f>tips[[#This Row],[total_bill]]/tips[[#This Row],[Customers]]</f>
        <v>6.9050000000000002</v>
      </c>
      <c r="J63" s="2">
        <f>tips[[#This Row],[tip]]/tips[[#This Row],[Customers]]</f>
        <v>1</v>
      </c>
    </row>
    <row r="64" spans="1:10" x14ac:dyDescent="0.25">
      <c r="A64" s="2">
        <v>11.02</v>
      </c>
      <c r="B64" s="2">
        <v>1.98</v>
      </c>
      <c r="C64" s="1" t="s">
        <v>10</v>
      </c>
      <c r="D64" s="1" t="s">
        <v>12</v>
      </c>
      <c r="E64" s="1" t="s">
        <v>11</v>
      </c>
      <c r="F64" s="1" t="s">
        <v>9</v>
      </c>
      <c r="G64">
        <v>2</v>
      </c>
      <c r="H64" s="3">
        <f>tips[[#This Row],[tip]]/tips[[#This Row],[total_bill]]</f>
        <v>0.17967332123411978</v>
      </c>
      <c r="I64" s="2">
        <f>tips[[#This Row],[total_bill]]/tips[[#This Row],[Customers]]</f>
        <v>5.51</v>
      </c>
      <c r="J64" s="2">
        <f>tips[[#This Row],[tip]]/tips[[#This Row],[Customers]]</f>
        <v>0.99</v>
      </c>
    </row>
    <row r="65" spans="1:10" x14ac:dyDescent="0.25">
      <c r="A65" s="2">
        <v>18.29</v>
      </c>
      <c r="B65" s="2">
        <v>3.76</v>
      </c>
      <c r="C65" s="1" t="s">
        <v>10</v>
      </c>
      <c r="D65" s="1" t="s">
        <v>12</v>
      </c>
      <c r="E65" s="1" t="s">
        <v>11</v>
      </c>
      <c r="F65" s="1" t="s">
        <v>9</v>
      </c>
      <c r="G65">
        <v>4</v>
      </c>
      <c r="H65" s="3">
        <f>tips[[#This Row],[tip]]/tips[[#This Row],[total_bill]]</f>
        <v>0.20557681793329688</v>
      </c>
      <c r="I65" s="2">
        <f>tips[[#This Row],[total_bill]]/tips[[#This Row],[Customers]]</f>
        <v>4.5724999999999998</v>
      </c>
      <c r="J65" s="2">
        <f>tips[[#This Row],[tip]]/tips[[#This Row],[Customers]]</f>
        <v>0.94</v>
      </c>
    </row>
    <row r="66" spans="1:10" x14ac:dyDescent="0.25">
      <c r="A66" s="2">
        <v>17.59</v>
      </c>
      <c r="B66" s="2">
        <v>2.64</v>
      </c>
      <c r="C66" s="1" t="s">
        <v>10</v>
      </c>
      <c r="D66" s="1" t="s">
        <v>7</v>
      </c>
      <c r="E66" s="1" t="s">
        <v>11</v>
      </c>
      <c r="F66" s="1" t="s">
        <v>9</v>
      </c>
      <c r="G66">
        <v>3</v>
      </c>
      <c r="H66" s="3">
        <f>tips[[#This Row],[tip]]/tips[[#This Row],[total_bill]]</f>
        <v>0.15008527572484368</v>
      </c>
      <c r="I66" s="2">
        <f>tips[[#This Row],[total_bill]]/tips[[#This Row],[Customers]]</f>
        <v>5.8633333333333333</v>
      </c>
      <c r="J66" s="2">
        <f>tips[[#This Row],[tip]]/tips[[#This Row],[Customers]]</f>
        <v>0.88</v>
      </c>
    </row>
    <row r="67" spans="1:10" x14ac:dyDescent="0.25">
      <c r="A67" s="2">
        <v>20.079999999999998</v>
      </c>
      <c r="B67" s="2">
        <v>3.15</v>
      </c>
      <c r="C67" s="1" t="s">
        <v>10</v>
      </c>
      <c r="D67" s="1" t="s">
        <v>7</v>
      </c>
      <c r="E67" s="1" t="s">
        <v>11</v>
      </c>
      <c r="F67" s="1" t="s">
        <v>9</v>
      </c>
      <c r="G67">
        <v>3</v>
      </c>
      <c r="H67" s="3">
        <f>tips[[#This Row],[tip]]/tips[[#This Row],[total_bill]]</f>
        <v>0.15687250996015936</v>
      </c>
      <c r="I67" s="2">
        <f>tips[[#This Row],[total_bill]]/tips[[#This Row],[Customers]]</f>
        <v>6.6933333333333325</v>
      </c>
      <c r="J67" s="2">
        <f>tips[[#This Row],[tip]]/tips[[#This Row],[Customers]]</f>
        <v>1.05</v>
      </c>
    </row>
    <row r="68" spans="1:10" x14ac:dyDescent="0.25">
      <c r="A68" s="2">
        <v>16.45</v>
      </c>
      <c r="B68" s="2">
        <v>2.4700000000000002</v>
      </c>
      <c r="C68" s="1" t="s">
        <v>6</v>
      </c>
      <c r="D68" s="1" t="s">
        <v>7</v>
      </c>
      <c r="E68" s="1" t="s">
        <v>11</v>
      </c>
      <c r="F68" s="1" t="s">
        <v>9</v>
      </c>
      <c r="G68">
        <v>2</v>
      </c>
      <c r="H68" s="3">
        <f>tips[[#This Row],[tip]]/tips[[#This Row],[total_bill]]</f>
        <v>0.1501519756838906</v>
      </c>
      <c r="I68" s="2">
        <f>tips[[#This Row],[total_bill]]/tips[[#This Row],[Customers]]</f>
        <v>8.2249999999999996</v>
      </c>
      <c r="J68" s="2">
        <f>tips[[#This Row],[tip]]/tips[[#This Row],[Customers]]</f>
        <v>1.2350000000000001</v>
      </c>
    </row>
    <row r="69" spans="1:10" x14ac:dyDescent="0.25">
      <c r="A69" s="2">
        <v>3.07</v>
      </c>
      <c r="B69" s="2">
        <v>1</v>
      </c>
      <c r="C69" s="1" t="s">
        <v>6</v>
      </c>
      <c r="D69" s="1" t="s">
        <v>12</v>
      </c>
      <c r="E69" s="1" t="s">
        <v>11</v>
      </c>
      <c r="F69" s="1" t="s">
        <v>9</v>
      </c>
      <c r="G69">
        <v>1</v>
      </c>
      <c r="H69" s="3">
        <f>tips[[#This Row],[tip]]/tips[[#This Row],[total_bill]]</f>
        <v>0.32573289902280134</v>
      </c>
      <c r="I69" s="2">
        <f>tips[[#This Row],[total_bill]]/tips[[#This Row],[Customers]]</f>
        <v>3.07</v>
      </c>
      <c r="J69" s="2">
        <f>tips[[#This Row],[tip]]/tips[[#This Row],[Customers]]</f>
        <v>1</v>
      </c>
    </row>
    <row r="70" spans="1:10" x14ac:dyDescent="0.25">
      <c r="A70" s="2">
        <v>20.23</v>
      </c>
      <c r="B70" s="2">
        <v>2.0099999999999998</v>
      </c>
      <c r="C70" s="1" t="s">
        <v>10</v>
      </c>
      <c r="D70" s="1" t="s">
        <v>7</v>
      </c>
      <c r="E70" s="1" t="s">
        <v>11</v>
      </c>
      <c r="F70" s="1" t="s">
        <v>9</v>
      </c>
      <c r="G70">
        <v>2</v>
      </c>
      <c r="H70" s="3">
        <f>tips[[#This Row],[tip]]/tips[[#This Row],[total_bill]]</f>
        <v>9.9357390014829447E-2</v>
      </c>
      <c r="I70" s="2">
        <f>tips[[#This Row],[total_bill]]/tips[[#This Row],[Customers]]</f>
        <v>10.115</v>
      </c>
      <c r="J70" s="2">
        <f>tips[[#This Row],[tip]]/tips[[#This Row],[Customers]]</f>
        <v>1.0049999999999999</v>
      </c>
    </row>
    <row r="71" spans="1:10" x14ac:dyDescent="0.25">
      <c r="A71" s="2">
        <v>15.01</v>
      </c>
      <c r="B71" s="2">
        <v>2.09</v>
      </c>
      <c r="C71" s="1" t="s">
        <v>10</v>
      </c>
      <c r="D71" s="1" t="s">
        <v>12</v>
      </c>
      <c r="E71" s="1" t="s">
        <v>11</v>
      </c>
      <c r="F71" s="1" t="s">
        <v>9</v>
      </c>
      <c r="G71">
        <v>2</v>
      </c>
      <c r="H71" s="3">
        <f>tips[[#This Row],[tip]]/tips[[#This Row],[total_bill]]</f>
        <v>0.13924050632911392</v>
      </c>
      <c r="I71" s="2">
        <f>tips[[#This Row],[total_bill]]/tips[[#This Row],[Customers]]</f>
        <v>7.5049999999999999</v>
      </c>
      <c r="J71" s="2">
        <f>tips[[#This Row],[tip]]/tips[[#This Row],[Customers]]</f>
        <v>1.0449999999999999</v>
      </c>
    </row>
    <row r="72" spans="1:10" x14ac:dyDescent="0.25">
      <c r="A72" s="2">
        <v>12.02</v>
      </c>
      <c r="B72" s="2">
        <v>1.97</v>
      </c>
      <c r="C72" s="1" t="s">
        <v>10</v>
      </c>
      <c r="D72" s="1" t="s">
        <v>7</v>
      </c>
      <c r="E72" s="1" t="s">
        <v>11</v>
      </c>
      <c r="F72" s="1" t="s">
        <v>9</v>
      </c>
      <c r="G72">
        <v>2</v>
      </c>
      <c r="H72" s="3">
        <f>tips[[#This Row],[tip]]/tips[[#This Row],[total_bill]]</f>
        <v>0.16389351081530781</v>
      </c>
      <c r="I72" s="2">
        <f>tips[[#This Row],[total_bill]]/tips[[#This Row],[Customers]]</f>
        <v>6.01</v>
      </c>
      <c r="J72" s="2">
        <f>tips[[#This Row],[tip]]/tips[[#This Row],[Customers]]</f>
        <v>0.98499999999999999</v>
      </c>
    </row>
    <row r="73" spans="1:10" x14ac:dyDescent="0.25">
      <c r="A73" s="2">
        <v>17.07</v>
      </c>
      <c r="B73" s="2">
        <v>3</v>
      </c>
      <c r="C73" s="1" t="s">
        <v>6</v>
      </c>
      <c r="D73" s="1" t="s">
        <v>7</v>
      </c>
      <c r="E73" s="1" t="s">
        <v>11</v>
      </c>
      <c r="F73" s="1" t="s">
        <v>9</v>
      </c>
      <c r="G73">
        <v>3</v>
      </c>
      <c r="H73" s="3">
        <f>tips[[#This Row],[tip]]/tips[[#This Row],[total_bill]]</f>
        <v>0.1757469244288225</v>
      </c>
      <c r="I73" s="2">
        <f>tips[[#This Row],[total_bill]]/tips[[#This Row],[Customers]]</f>
        <v>5.69</v>
      </c>
      <c r="J73" s="2">
        <f>tips[[#This Row],[tip]]/tips[[#This Row],[Customers]]</f>
        <v>1</v>
      </c>
    </row>
    <row r="74" spans="1:10" x14ac:dyDescent="0.25">
      <c r="A74" s="2">
        <v>26.86</v>
      </c>
      <c r="B74" s="2">
        <v>3.14</v>
      </c>
      <c r="C74" s="1" t="s">
        <v>6</v>
      </c>
      <c r="D74" s="1" t="s">
        <v>12</v>
      </c>
      <c r="E74" s="1" t="s">
        <v>11</v>
      </c>
      <c r="F74" s="1" t="s">
        <v>9</v>
      </c>
      <c r="G74">
        <v>2</v>
      </c>
      <c r="H74" s="3">
        <f>tips[[#This Row],[tip]]/tips[[#This Row],[total_bill]]</f>
        <v>0.11690245718540582</v>
      </c>
      <c r="I74" s="2">
        <f>tips[[#This Row],[total_bill]]/tips[[#This Row],[Customers]]</f>
        <v>13.43</v>
      </c>
      <c r="J74" s="2">
        <f>tips[[#This Row],[tip]]/tips[[#This Row],[Customers]]</f>
        <v>1.57</v>
      </c>
    </row>
    <row r="75" spans="1:10" x14ac:dyDescent="0.25">
      <c r="A75" s="2">
        <v>25.28</v>
      </c>
      <c r="B75" s="2">
        <v>5</v>
      </c>
      <c r="C75" s="1" t="s">
        <v>6</v>
      </c>
      <c r="D75" s="1" t="s">
        <v>12</v>
      </c>
      <c r="E75" s="1" t="s">
        <v>11</v>
      </c>
      <c r="F75" s="1" t="s">
        <v>9</v>
      </c>
      <c r="G75">
        <v>2</v>
      </c>
      <c r="H75" s="3">
        <f>tips[[#This Row],[tip]]/tips[[#This Row],[total_bill]]</f>
        <v>0.19778481012658228</v>
      </c>
      <c r="I75" s="2">
        <f>tips[[#This Row],[total_bill]]/tips[[#This Row],[Customers]]</f>
        <v>12.64</v>
      </c>
      <c r="J75" s="2">
        <f>tips[[#This Row],[tip]]/tips[[#This Row],[Customers]]</f>
        <v>2.5</v>
      </c>
    </row>
    <row r="76" spans="1:10" x14ac:dyDescent="0.25">
      <c r="A76" s="2">
        <v>14.73</v>
      </c>
      <c r="B76" s="2">
        <v>2.2000000000000002</v>
      </c>
      <c r="C76" s="1" t="s">
        <v>6</v>
      </c>
      <c r="D76" s="1" t="s">
        <v>7</v>
      </c>
      <c r="E76" s="1" t="s">
        <v>11</v>
      </c>
      <c r="F76" s="1" t="s">
        <v>9</v>
      </c>
      <c r="G76">
        <v>2</v>
      </c>
      <c r="H76" s="3">
        <f>tips[[#This Row],[tip]]/tips[[#This Row],[total_bill]]</f>
        <v>0.14935505770536323</v>
      </c>
      <c r="I76" s="2">
        <f>tips[[#This Row],[total_bill]]/tips[[#This Row],[Customers]]</f>
        <v>7.3650000000000002</v>
      </c>
      <c r="J76" s="2">
        <f>tips[[#This Row],[tip]]/tips[[#This Row],[Customers]]</f>
        <v>1.1000000000000001</v>
      </c>
    </row>
    <row r="77" spans="1:10" x14ac:dyDescent="0.25">
      <c r="A77" s="2">
        <v>10.51</v>
      </c>
      <c r="B77" s="2">
        <v>1.25</v>
      </c>
      <c r="C77" s="1" t="s">
        <v>10</v>
      </c>
      <c r="D77" s="1" t="s">
        <v>7</v>
      </c>
      <c r="E77" s="1" t="s">
        <v>11</v>
      </c>
      <c r="F77" s="1" t="s">
        <v>9</v>
      </c>
      <c r="G77">
        <v>2</v>
      </c>
      <c r="H77" s="3">
        <f>tips[[#This Row],[tip]]/tips[[#This Row],[total_bill]]</f>
        <v>0.11893434823977164</v>
      </c>
      <c r="I77" s="2">
        <f>tips[[#This Row],[total_bill]]/tips[[#This Row],[Customers]]</f>
        <v>5.2549999999999999</v>
      </c>
      <c r="J77" s="2">
        <f>tips[[#This Row],[tip]]/tips[[#This Row],[Customers]]</f>
        <v>0.625</v>
      </c>
    </row>
    <row r="78" spans="1:10" x14ac:dyDescent="0.25">
      <c r="A78" s="2">
        <v>17.920000000000002</v>
      </c>
      <c r="B78" s="2">
        <v>3.08</v>
      </c>
      <c r="C78" s="1" t="s">
        <v>10</v>
      </c>
      <c r="D78" s="1" t="s">
        <v>12</v>
      </c>
      <c r="E78" s="1" t="s">
        <v>11</v>
      </c>
      <c r="F78" s="1" t="s">
        <v>9</v>
      </c>
      <c r="G78">
        <v>2</v>
      </c>
      <c r="H78" s="3">
        <f>tips[[#This Row],[tip]]/tips[[#This Row],[total_bill]]</f>
        <v>0.171875</v>
      </c>
      <c r="I78" s="2">
        <f>tips[[#This Row],[total_bill]]/tips[[#This Row],[Customers]]</f>
        <v>8.9600000000000009</v>
      </c>
      <c r="J78" s="2">
        <f>tips[[#This Row],[tip]]/tips[[#This Row],[Customers]]</f>
        <v>1.54</v>
      </c>
    </row>
    <row r="79" spans="1:10" x14ac:dyDescent="0.25">
      <c r="A79" s="2">
        <v>27.2</v>
      </c>
      <c r="B79" s="2">
        <v>4</v>
      </c>
      <c r="C79" s="1" t="s">
        <v>10</v>
      </c>
      <c r="D79" s="1" t="s">
        <v>7</v>
      </c>
      <c r="E79" s="1" t="s">
        <v>13</v>
      </c>
      <c r="F79" s="1" t="s">
        <v>14</v>
      </c>
      <c r="G79">
        <v>4</v>
      </c>
      <c r="H79" s="3">
        <f>tips[[#This Row],[tip]]/tips[[#This Row],[total_bill]]</f>
        <v>0.14705882352941177</v>
      </c>
      <c r="I79" s="2">
        <f>tips[[#This Row],[total_bill]]/tips[[#This Row],[Customers]]</f>
        <v>6.8</v>
      </c>
      <c r="J79" s="2">
        <f>tips[[#This Row],[tip]]/tips[[#This Row],[Customers]]</f>
        <v>1</v>
      </c>
    </row>
    <row r="80" spans="1:10" x14ac:dyDescent="0.25">
      <c r="A80" s="2">
        <v>22.76</v>
      </c>
      <c r="B80" s="2">
        <v>3</v>
      </c>
      <c r="C80" s="1" t="s">
        <v>10</v>
      </c>
      <c r="D80" s="1" t="s">
        <v>7</v>
      </c>
      <c r="E80" s="1" t="s">
        <v>13</v>
      </c>
      <c r="F80" s="1" t="s">
        <v>14</v>
      </c>
      <c r="G80">
        <v>2</v>
      </c>
      <c r="H80" s="3">
        <f>tips[[#This Row],[tip]]/tips[[#This Row],[total_bill]]</f>
        <v>0.13181019332161686</v>
      </c>
      <c r="I80" s="2">
        <f>tips[[#This Row],[total_bill]]/tips[[#This Row],[Customers]]</f>
        <v>11.38</v>
      </c>
      <c r="J80" s="2">
        <f>tips[[#This Row],[tip]]/tips[[#This Row],[Customers]]</f>
        <v>1.5</v>
      </c>
    </row>
    <row r="81" spans="1:10" x14ac:dyDescent="0.25">
      <c r="A81" s="2">
        <v>17.29</v>
      </c>
      <c r="B81" s="2">
        <v>2.71</v>
      </c>
      <c r="C81" s="1" t="s">
        <v>10</v>
      </c>
      <c r="D81" s="1" t="s">
        <v>7</v>
      </c>
      <c r="E81" s="1" t="s">
        <v>13</v>
      </c>
      <c r="F81" s="1" t="s">
        <v>14</v>
      </c>
      <c r="G81">
        <v>2</v>
      </c>
      <c r="H81" s="3">
        <f>tips[[#This Row],[tip]]/tips[[#This Row],[total_bill]]</f>
        <v>0.15673799884326201</v>
      </c>
      <c r="I81" s="2">
        <f>tips[[#This Row],[total_bill]]/tips[[#This Row],[Customers]]</f>
        <v>8.6449999999999996</v>
      </c>
      <c r="J81" s="2">
        <f>tips[[#This Row],[tip]]/tips[[#This Row],[Customers]]</f>
        <v>1.355</v>
      </c>
    </row>
    <row r="82" spans="1:10" x14ac:dyDescent="0.25">
      <c r="A82" s="2">
        <v>19.440000000000001</v>
      </c>
      <c r="B82" s="2">
        <v>3</v>
      </c>
      <c r="C82" s="1" t="s">
        <v>10</v>
      </c>
      <c r="D82" s="1" t="s">
        <v>12</v>
      </c>
      <c r="E82" s="1" t="s">
        <v>13</v>
      </c>
      <c r="F82" s="1" t="s">
        <v>14</v>
      </c>
      <c r="G82">
        <v>2</v>
      </c>
      <c r="H82" s="3">
        <f>tips[[#This Row],[tip]]/tips[[#This Row],[total_bill]]</f>
        <v>0.15432098765432098</v>
      </c>
      <c r="I82" s="2">
        <f>tips[[#This Row],[total_bill]]/tips[[#This Row],[Customers]]</f>
        <v>9.7200000000000006</v>
      </c>
      <c r="J82" s="2">
        <f>tips[[#This Row],[tip]]/tips[[#This Row],[Customers]]</f>
        <v>1.5</v>
      </c>
    </row>
    <row r="83" spans="1:10" x14ac:dyDescent="0.25">
      <c r="A83" s="2">
        <v>16.66</v>
      </c>
      <c r="B83" s="2">
        <v>3.4</v>
      </c>
      <c r="C83" s="1" t="s">
        <v>10</v>
      </c>
      <c r="D83" s="1" t="s">
        <v>7</v>
      </c>
      <c r="E83" s="1" t="s">
        <v>13</v>
      </c>
      <c r="F83" s="1" t="s">
        <v>14</v>
      </c>
      <c r="G83">
        <v>2</v>
      </c>
      <c r="H83" s="3">
        <f>tips[[#This Row],[tip]]/tips[[#This Row],[total_bill]]</f>
        <v>0.20408163265306123</v>
      </c>
      <c r="I83" s="2">
        <f>tips[[#This Row],[total_bill]]/tips[[#This Row],[Customers]]</f>
        <v>8.33</v>
      </c>
      <c r="J83" s="2">
        <f>tips[[#This Row],[tip]]/tips[[#This Row],[Customers]]</f>
        <v>1.7</v>
      </c>
    </row>
    <row r="84" spans="1:10" x14ac:dyDescent="0.25">
      <c r="A84" s="2">
        <v>10.07</v>
      </c>
      <c r="B84" s="2">
        <v>1.83</v>
      </c>
      <c r="C84" s="1" t="s">
        <v>6</v>
      </c>
      <c r="D84" s="1" t="s">
        <v>7</v>
      </c>
      <c r="E84" s="1" t="s">
        <v>13</v>
      </c>
      <c r="F84" s="1" t="s">
        <v>14</v>
      </c>
      <c r="G84">
        <v>1</v>
      </c>
      <c r="H84" s="3">
        <f>tips[[#This Row],[tip]]/tips[[#This Row],[total_bill]]</f>
        <v>0.18172790466732869</v>
      </c>
      <c r="I84" s="2">
        <f>tips[[#This Row],[total_bill]]/tips[[#This Row],[Customers]]</f>
        <v>10.07</v>
      </c>
      <c r="J84" s="2">
        <f>tips[[#This Row],[tip]]/tips[[#This Row],[Customers]]</f>
        <v>1.83</v>
      </c>
    </row>
    <row r="85" spans="1:10" x14ac:dyDescent="0.25">
      <c r="A85" s="2">
        <v>32.68</v>
      </c>
      <c r="B85" s="2">
        <v>5</v>
      </c>
      <c r="C85" s="1" t="s">
        <v>10</v>
      </c>
      <c r="D85" s="1" t="s">
        <v>12</v>
      </c>
      <c r="E85" s="1" t="s">
        <v>13</v>
      </c>
      <c r="F85" s="1" t="s">
        <v>14</v>
      </c>
      <c r="G85">
        <v>2</v>
      </c>
      <c r="H85" s="3">
        <f>tips[[#This Row],[tip]]/tips[[#This Row],[total_bill]]</f>
        <v>0.15299877600979192</v>
      </c>
      <c r="I85" s="2">
        <f>tips[[#This Row],[total_bill]]/tips[[#This Row],[Customers]]</f>
        <v>16.34</v>
      </c>
      <c r="J85" s="2">
        <f>tips[[#This Row],[tip]]/tips[[#This Row],[Customers]]</f>
        <v>2.5</v>
      </c>
    </row>
    <row r="86" spans="1:10" x14ac:dyDescent="0.25">
      <c r="A86" s="2">
        <v>15.98</v>
      </c>
      <c r="B86" s="2">
        <v>2.0299999999999998</v>
      </c>
      <c r="C86" s="1" t="s">
        <v>10</v>
      </c>
      <c r="D86" s="1" t="s">
        <v>7</v>
      </c>
      <c r="E86" s="1" t="s">
        <v>13</v>
      </c>
      <c r="F86" s="1" t="s">
        <v>14</v>
      </c>
      <c r="G86">
        <v>2</v>
      </c>
      <c r="H86" s="3">
        <f>tips[[#This Row],[tip]]/tips[[#This Row],[total_bill]]</f>
        <v>0.12703379224030037</v>
      </c>
      <c r="I86" s="2">
        <f>tips[[#This Row],[total_bill]]/tips[[#This Row],[Customers]]</f>
        <v>7.99</v>
      </c>
      <c r="J86" s="2">
        <f>tips[[#This Row],[tip]]/tips[[#This Row],[Customers]]</f>
        <v>1.0149999999999999</v>
      </c>
    </row>
    <row r="87" spans="1:10" x14ac:dyDescent="0.25">
      <c r="A87" s="2">
        <v>34.83</v>
      </c>
      <c r="B87" s="2">
        <v>5.17</v>
      </c>
      <c r="C87" s="1" t="s">
        <v>6</v>
      </c>
      <c r="D87" s="1" t="s">
        <v>7</v>
      </c>
      <c r="E87" s="1" t="s">
        <v>13</v>
      </c>
      <c r="F87" s="1" t="s">
        <v>14</v>
      </c>
      <c r="G87">
        <v>4</v>
      </c>
      <c r="H87" s="3">
        <f>tips[[#This Row],[tip]]/tips[[#This Row],[total_bill]]</f>
        <v>0.14843525696238874</v>
      </c>
      <c r="I87" s="2">
        <f>tips[[#This Row],[total_bill]]/tips[[#This Row],[Customers]]</f>
        <v>8.7074999999999996</v>
      </c>
      <c r="J87" s="2">
        <f>tips[[#This Row],[tip]]/tips[[#This Row],[Customers]]</f>
        <v>1.2925</v>
      </c>
    </row>
    <row r="88" spans="1:10" x14ac:dyDescent="0.25">
      <c r="A88" s="2">
        <v>13.03</v>
      </c>
      <c r="B88" s="2">
        <v>2</v>
      </c>
      <c r="C88" s="1" t="s">
        <v>10</v>
      </c>
      <c r="D88" s="1" t="s">
        <v>7</v>
      </c>
      <c r="E88" s="1" t="s">
        <v>13</v>
      </c>
      <c r="F88" s="1" t="s">
        <v>14</v>
      </c>
      <c r="G88">
        <v>2</v>
      </c>
      <c r="H88" s="3">
        <f>tips[[#This Row],[tip]]/tips[[#This Row],[total_bill]]</f>
        <v>0.15349194167306218</v>
      </c>
      <c r="I88" s="2">
        <f>tips[[#This Row],[total_bill]]/tips[[#This Row],[Customers]]</f>
        <v>6.5149999999999997</v>
      </c>
      <c r="J88" s="2">
        <f>tips[[#This Row],[tip]]/tips[[#This Row],[Customers]]</f>
        <v>1</v>
      </c>
    </row>
    <row r="89" spans="1:10" x14ac:dyDescent="0.25">
      <c r="A89" s="2">
        <v>18.28</v>
      </c>
      <c r="B89" s="2">
        <v>4</v>
      </c>
      <c r="C89" s="1" t="s">
        <v>10</v>
      </c>
      <c r="D89" s="1" t="s">
        <v>7</v>
      </c>
      <c r="E89" s="1" t="s">
        <v>13</v>
      </c>
      <c r="F89" s="1" t="s">
        <v>14</v>
      </c>
      <c r="G89">
        <v>2</v>
      </c>
      <c r="H89" s="3">
        <f>tips[[#This Row],[tip]]/tips[[#This Row],[total_bill]]</f>
        <v>0.21881838074398249</v>
      </c>
      <c r="I89" s="2">
        <f>tips[[#This Row],[total_bill]]/tips[[#This Row],[Customers]]</f>
        <v>9.14</v>
      </c>
      <c r="J89" s="2">
        <f>tips[[#This Row],[tip]]/tips[[#This Row],[Customers]]</f>
        <v>2</v>
      </c>
    </row>
    <row r="90" spans="1:10" x14ac:dyDescent="0.25">
      <c r="A90" s="2">
        <v>24.71</v>
      </c>
      <c r="B90" s="2">
        <v>5.85</v>
      </c>
      <c r="C90" s="1" t="s">
        <v>10</v>
      </c>
      <c r="D90" s="1" t="s">
        <v>7</v>
      </c>
      <c r="E90" s="1" t="s">
        <v>13</v>
      </c>
      <c r="F90" s="1" t="s">
        <v>14</v>
      </c>
      <c r="G90">
        <v>2</v>
      </c>
      <c r="H90" s="3">
        <f>tips[[#This Row],[tip]]/tips[[#This Row],[total_bill]]</f>
        <v>0.23674625657628487</v>
      </c>
      <c r="I90" s="2">
        <f>tips[[#This Row],[total_bill]]/tips[[#This Row],[Customers]]</f>
        <v>12.355</v>
      </c>
      <c r="J90" s="2">
        <f>tips[[#This Row],[tip]]/tips[[#This Row],[Customers]]</f>
        <v>2.9249999999999998</v>
      </c>
    </row>
    <row r="91" spans="1:10" x14ac:dyDescent="0.25">
      <c r="A91" s="2">
        <v>21.16</v>
      </c>
      <c r="B91" s="2">
        <v>3</v>
      </c>
      <c r="C91" s="1" t="s">
        <v>10</v>
      </c>
      <c r="D91" s="1" t="s">
        <v>7</v>
      </c>
      <c r="E91" s="1" t="s">
        <v>13</v>
      </c>
      <c r="F91" s="1" t="s">
        <v>14</v>
      </c>
      <c r="G91">
        <v>2</v>
      </c>
      <c r="H91" s="3">
        <f>tips[[#This Row],[tip]]/tips[[#This Row],[total_bill]]</f>
        <v>0.14177693761814744</v>
      </c>
      <c r="I91" s="2">
        <f>tips[[#This Row],[total_bill]]/tips[[#This Row],[Customers]]</f>
        <v>10.58</v>
      </c>
      <c r="J91" s="2">
        <f>tips[[#This Row],[tip]]/tips[[#This Row],[Customers]]</f>
        <v>1.5</v>
      </c>
    </row>
    <row r="92" spans="1:10" x14ac:dyDescent="0.25">
      <c r="A92" s="2">
        <v>28.97</v>
      </c>
      <c r="B92" s="2">
        <v>3</v>
      </c>
      <c r="C92" s="1" t="s">
        <v>10</v>
      </c>
      <c r="D92" s="1" t="s">
        <v>12</v>
      </c>
      <c r="E92" s="1" t="s">
        <v>15</v>
      </c>
      <c r="F92" s="1" t="s">
        <v>9</v>
      </c>
      <c r="G92">
        <v>2</v>
      </c>
      <c r="H92" s="3">
        <f>tips[[#This Row],[tip]]/tips[[#This Row],[total_bill]]</f>
        <v>0.10355540214014498</v>
      </c>
      <c r="I92" s="2">
        <f>tips[[#This Row],[total_bill]]/tips[[#This Row],[Customers]]</f>
        <v>14.484999999999999</v>
      </c>
      <c r="J92" s="2">
        <f>tips[[#This Row],[tip]]/tips[[#This Row],[Customers]]</f>
        <v>1.5</v>
      </c>
    </row>
    <row r="93" spans="1:10" x14ac:dyDescent="0.25">
      <c r="A93" s="2">
        <v>22.49</v>
      </c>
      <c r="B93" s="2">
        <v>3.5</v>
      </c>
      <c r="C93" s="1" t="s">
        <v>10</v>
      </c>
      <c r="D93" s="1" t="s">
        <v>7</v>
      </c>
      <c r="E93" s="1" t="s">
        <v>15</v>
      </c>
      <c r="F93" s="1" t="s">
        <v>9</v>
      </c>
      <c r="G93">
        <v>2</v>
      </c>
      <c r="H93" s="3">
        <f>tips[[#This Row],[tip]]/tips[[#This Row],[total_bill]]</f>
        <v>0.15562472209871056</v>
      </c>
      <c r="I93" s="2">
        <f>tips[[#This Row],[total_bill]]/tips[[#This Row],[Customers]]</f>
        <v>11.244999999999999</v>
      </c>
      <c r="J93" s="2">
        <f>tips[[#This Row],[tip]]/tips[[#This Row],[Customers]]</f>
        <v>1.75</v>
      </c>
    </row>
    <row r="94" spans="1:10" x14ac:dyDescent="0.25">
      <c r="A94" s="2">
        <v>5.75</v>
      </c>
      <c r="B94" s="2">
        <v>1</v>
      </c>
      <c r="C94" s="1" t="s">
        <v>6</v>
      </c>
      <c r="D94" s="1" t="s">
        <v>12</v>
      </c>
      <c r="E94" s="1" t="s">
        <v>15</v>
      </c>
      <c r="F94" s="1" t="s">
        <v>9</v>
      </c>
      <c r="G94">
        <v>2</v>
      </c>
      <c r="H94" s="3">
        <f>tips[[#This Row],[tip]]/tips[[#This Row],[total_bill]]</f>
        <v>0.17391304347826086</v>
      </c>
      <c r="I94" s="2">
        <f>tips[[#This Row],[total_bill]]/tips[[#This Row],[Customers]]</f>
        <v>2.875</v>
      </c>
      <c r="J94" s="2">
        <f>tips[[#This Row],[tip]]/tips[[#This Row],[Customers]]</f>
        <v>0.5</v>
      </c>
    </row>
    <row r="95" spans="1:10" x14ac:dyDescent="0.25">
      <c r="A95" s="2">
        <v>16.32</v>
      </c>
      <c r="B95" s="2">
        <v>4.3</v>
      </c>
      <c r="C95" s="1" t="s">
        <v>6</v>
      </c>
      <c r="D95" s="1" t="s">
        <v>12</v>
      </c>
      <c r="E95" s="1" t="s">
        <v>15</v>
      </c>
      <c r="F95" s="1" t="s">
        <v>9</v>
      </c>
      <c r="G95">
        <v>2</v>
      </c>
      <c r="H95" s="3">
        <f>tips[[#This Row],[tip]]/tips[[#This Row],[total_bill]]</f>
        <v>0.26348039215686275</v>
      </c>
      <c r="I95" s="2">
        <f>tips[[#This Row],[total_bill]]/tips[[#This Row],[Customers]]</f>
        <v>8.16</v>
      </c>
      <c r="J95" s="2">
        <f>tips[[#This Row],[tip]]/tips[[#This Row],[Customers]]</f>
        <v>2.15</v>
      </c>
    </row>
    <row r="96" spans="1:10" x14ac:dyDescent="0.25">
      <c r="A96" s="2">
        <v>22.75</v>
      </c>
      <c r="B96" s="2">
        <v>3.25</v>
      </c>
      <c r="C96" s="1" t="s">
        <v>6</v>
      </c>
      <c r="D96" s="1" t="s">
        <v>7</v>
      </c>
      <c r="E96" s="1" t="s">
        <v>15</v>
      </c>
      <c r="F96" s="1" t="s">
        <v>9</v>
      </c>
      <c r="G96">
        <v>2</v>
      </c>
      <c r="H96" s="3">
        <f>tips[[#This Row],[tip]]/tips[[#This Row],[total_bill]]</f>
        <v>0.14285714285714285</v>
      </c>
      <c r="I96" s="2">
        <f>tips[[#This Row],[total_bill]]/tips[[#This Row],[Customers]]</f>
        <v>11.375</v>
      </c>
      <c r="J96" s="2">
        <f>tips[[#This Row],[tip]]/tips[[#This Row],[Customers]]</f>
        <v>1.625</v>
      </c>
    </row>
    <row r="97" spans="1:10" x14ac:dyDescent="0.25">
      <c r="A97" s="2">
        <v>40.17</v>
      </c>
      <c r="B97" s="2">
        <v>4.7300000000000004</v>
      </c>
      <c r="C97" s="1" t="s">
        <v>10</v>
      </c>
      <c r="D97" s="1" t="s">
        <v>12</v>
      </c>
      <c r="E97" s="1" t="s">
        <v>15</v>
      </c>
      <c r="F97" s="1" t="s">
        <v>9</v>
      </c>
      <c r="G97">
        <v>4</v>
      </c>
      <c r="H97" s="3">
        <f>tips[[#This Row],[tip]]/tips[[#This Row],[total_bill]]</f>
        <v>0.1177495643515061</v>
      </c>
      <c r="I97" s="2">
        <f>tips[[#This Row],[total_bill]]/tips[[#This Row],[Customers]]</f>
        <v>10.0425</v>
      </c>
      <c r="J97" s="2">
        <f>tips[[#This Row],[tip]]/tips[[#This Row],[Customers]]</f>
        <v>1.1825000000000001</v>
      </c>
    </row>
    <row r="98" spans="1:10" x14ac:dyDescent="0.25">
      <c r="A98" s="2">
        <v>27.28</v>
      </c>
      <c r="B98" s="2">
        <v>4</v>
      </c>
      <c r="C98" s="1" t="s">
        <v>10</v>
      </c>
      <c r="D98" s="1" t="s">
        <v>12</v>
      </c>
      <c r="E98" s="1" t="s">
        <v>15</v>
      </c>
      <c r="F98" s="1" t="s">
        <v>9</v>
      </c>
      <c r="G98">
        <v>2</v>
      </c>
      <c r="H98" s="3">
        <f>tips[[#This Row],[tip]]/tips[[#This Row],[total_bill]]</f>
        <v>0.14662756598240467</v>
      </c>
      <c r="I98" s="2">
        <f>tips[[#This Row],[total_bill]]/tips[[#This Row],[Customers]]</f>
        <v>13.64</v>
      </c>
      <c r="J98" s="2">
        <f>tips[[#This Row],[tip]]/tips[[#This Row],[Customers]]</f>
        <v>2</v>
      </c>
    </row>
    <row r="99" spans="1:10" x14ac:dyDescent="0.25">
      <c r="A99" s="2">
        <v>12.03</v>
      </c>
      <c r="B99" s="2">
        <v>1.5</v>
      </c>
      <c r="C99" s="1" t="s">
        <v>10</v>
      </c>
      <c r="D99" s="1" t="s">
        <v>12</v>
      </c>
      <c r="E99" s="1" t="s">
        <v>15</v>
      </c>
      <c r="F99" s="1" t="s">
        <v>9</v>
      </c>
      <c r="G99">
        <v>2</v>
      </c>
      <c r="H99" s="3">
        <f>tips[[#This Row],[tip]]/tips[[#This Row],[total_bill]]</f>
        <v>0.12468827930174564</v>
      </c>
      <c r="I99" s="2">
        <f>tips[[#This Row],[total_bill]]/tips[[#This Row],[Customers]]</f>
        <v>6.0149999999999997</v>
      </c>
      <c r="J99" s="2">
        <f>tips[[#This Row],[tip]]/tips[[#This Row],[Customers]]</f>
        <v>0.75</v>
      </c>
    </row>
    <row r="100" spans="1:10" x14ac:dyDescent="0.25">
      <c r="A100" s="2">
        <v>21.01</v>
      </c>
      <c r="B100" s="2">
        <v>3</v>
      </c>
      <c r="C100" s="1" t="s">
        <v>10</v>
      </c>
      <c r="D100" s="1" t="s">
        <v>12</v>
      </c>
      <c r="E100" s="1" t="s">
        <v>15</v>
      </c>
      <c r="F100" s="1" t="s">
        <v>9</v>
      </c>
      <c r="G100">
        <v>2</v>
      </c>
      <c r="H100" s="3">
        <f>tips[[#This Row],[tip]]/tips[[#This Row],[total_bill]]</f>
        <v>0.1427891480247501</v>
      </c>
      <c r="I100" s="2">
        <f>tips[[#This Row],[total_bill]]/tips[[#This Row],[Customers]]</f>
        <v>10.505000000000001</v>
      </c>
      <c r="J100" s="2">
        <f>tips[[#This Row],[tip]]/tips[[#This Row],[Customers]]</f>
        <v>1.5</v>
      </c>
    </row>
    <row r="101" spans="1:10" x14ac:dyDescent="0.25">
      <c r="A101" s="2">
        <v>12.46</v>
      </c>
      <c r="B101" s="2">
        <v>1.5</v>
      </c>
      <c r="C101" s="1" t="s">
        <v>10</v>
      </c>
      <c r="D101" s="1" t="s">
        <v>7</v>
      </c>
      <c r="E101" s="1" t="s">
        <v>15</v>
      </c>
      <c r="F101" s="1" t="s">
        <v>9</v>
      </c>
      <c r="G101">
        <v>2</v>
      </c>
      <c r="H101" s="3">
        <f>tips[[#This Row],[tip]]/tips[[#This Row],[total_bill]]</f>
        <v>0.1203852327447833</v>
      </c>
      <c r="I101" s="2">
        <f>tips[[#This Row],[total_bill]]/tips[[#This Row],[Customers]]</f>
        <v>6.23</v>
      </c>
      <c r="J101" s="2">
        <f>tips[[#This Row],[tip]]/tips[[#This Row],[Customers]]</f>
        <v>0.75</v>
      </c>
    </row>
    <row r="102" spans="1:10" x14ac:dyDescent="0.25">
      <c r="A102" s="2">
        <v>11.35</v>
      </c>
      <c r="B102" s="2">
        <v>2.5</v>
      </c>
      <c r="C102" s="1" t="s">
        <v>6</v>
      </c>
      <c r="D102" s="1" t="s">
        <v>12</v>
      </c>
      <c r="E102" s="1" t="s">
        <v>15</v>
      </c>
      <c r="F102" s="1" t="s">
        <v>9</v>
      </c>
      <c r="G102">
        <v>2</v>
      </c>
      <c r="H102" s="3">
        <f>tips[[#This Row],[tip]]/tips[[#This Row],[total_bill]]</f>
        <v>0.22026431718061676</v>
      </c>
      <c r="I102" s="2">
        <f>tips[[#This Row],[total_bill]]/tips[[#This Row],[Customers]]</f>
        <v>5.6749999999999998</v>
      </c>
      <c r="J102" s="2">
        <f>tips[[#This Row],[tip]]/tips[[#This Row],[Customers]]</f>
        <v>1.25</v>
      </c>
    </row>
    <row r="103" spans="1:10" x14ac:dyDescent="0.25">
      <c r="A103" s="2">
        <v>15.38</v>
      </c>
      <c r="B103" s="2">
        <v>3</v>
      </c>
      <c r="C103" s="1" t="s">
        <v>6</v>
      </c>
      <c r="D103" s="1" t="s">
        <v>12</v>
      </c>
      <c r="E103" s="1" t="s">
        <v>15</v>
      </c>
      <c r="F103" s="1" t="s">
        <v>9</v>
      </c>
      <c r="G103">
        <v>2</v>
      </c>
      <c r="H103" s="3">
        <f>tips[[#This Row],[tip]]/tips[[#This Row],[total_bill]]</f>
        <v>0.19505851755526657</v>
      </c>
      <c r="I103" s="2">
        <f>tips[[#This Row],[total_bill]]/tips[[#This Row],[Customers]]</f>
        <v>7.69</v>
      </c>
      <c r="J103" s="2">
        <f>tips[[#This Row],[tip]]/tips[[#This Row],[Customers]]</f>
        <v>1.5</v>
      </c>
    </row>
    <row r="104" spans="1:10" x14ac:dyDescent="0.25">
      <c r="A104" s="2">
        <v>44.3</v>
      </c>
      <c r="B104" s="2">
        <v>2.5</v>
      </c>
      <c r="C104" s="1" t="s">
        <v>6</v>
      </c>
      <c r="D104" s="1" t="s">
        <v>12</v>
      </c>
      <c r="E104" s="1" t="s">
        <v>11</v>
      </c>
      <c r="F104" s="1" t="s">
        <v>9</v>
      </c>
      <c r="G104">
        <v>3</v>
      </c>
      <c r="H104" s="3">
        <f>tips[[#This Row],[tip]]/tips[[#This Row],[total_bill]]</f>
        <v>5.6433408577878111E-2</v>
      </c>
      <c r="I104" s="2">
        <f>tips[[#This Row],[total_bill]]/tips[[#This Row],[Customers]]</f>
        <v>14.766666666666666</v>
      </c>
      <c r="J104" s="2">
        <f>tips[[#This Row],[tip]]/tips[[#This Row],[Customers]]</f>
        <v>0.83333333333333337</v>
      </c>
    </row>
    <row r="105" spans="1:10" x14ac:dyDescent="0.25">
      <c r="A105" s="2">
        <v>22.42</v>
      </c>
      <c r="B105" s="2">
        <v>3.48</v>
      </c>
      <c r="C105" s="1" t="s">
        <v>6</v>
      </c>
      <c r="D105" s="1" t="s">
        <v>12</v>
      </c>
      <c r="E105" s="1" t="s">
        <v>11</v>
      </c>
      <c r="F105" s="1" t="s">
        <v>9</v>
      </c>
      <c r="G105">
        <v>2</v>
      </c>
      <c r="H105" s="3">
        <f>tips[[#This Row],[tip]]/tips[[#This Row],[total_bill]]</f>
        <v>0.15521855486173058</v>
      </c>
      <c r="I105" s="2">
        <f>tips[[#This Row],[total_bill]]/tips[[#This Row],[Customers]]</f>
        <v>11.21</v>
      </c>
      <c r="J105" s="2">
        <f>tips[[#This Row],[tip]]/tips[[#This Row],[Customers]]</f>
        <v>1.74</v>
      </c>
    </row>
    <row r="106" spans="1:10" x14ac:dyDescent="0.25">
      <c r="A106" s="2">
        <v>20.92</v>
      </c>
      <c r="B106" s="2">
        <v>4.08</v>
      </c>
      <c r="C106" s="1" t="s">
        <v>6</v>
      </c>
      <c r="D106" s="1" t="s">
        <v>7</v>
      </c>
      <c r="E106" s="1" t="s">
        <v>11</v>
      </c>
      <c r="F106" s="1" t="s">
        <v>9</v>
      </c>
      <c r="G106">
        <v>2</v>
      </c>
      <c r="H106" s="3">
        <f>tips[[#This Row],[tip]]/tips[[#This Row],[total_bill]]</f>
        <v>0.19502868068833651</v>
      </c>
      <c r="I106" s="2">
        <f>tips[[#This Row],[total_bill]]/tips[[#This Row],[Customers]]</f>
        <v>10.46</v>
      </c>
      <c r="J106" s="2">
        <f>tips[[#This Row],[tip]]/tips[[#This Row],[Customers]]</f>
        <v>2.04</v>
      </c>
    </row>
    <row r="107" spans="1:10" x14ac:dyDescent="0.25">
      <c r="A107" s="2">
        <v>15.36</v>
      </c>
      <c r="B107" s="2">
        <v>1.64</v>
      </c>
      <c r="C107" s="1" t="s">
        <v>10</v>
      </c>
      <c r="D107" s="1" t="s">
        <v>12</v>
      </c>
      <c r="E107" s="1" t="s">
        <v>11</v>
      </c>
      <c r="F107" s="1" t="s">
        <v>9</v>
      </c>
      <c r="G107">
        <v>2</v>
      </c>
      <c r="H107" s="3">
        <f>tips[[#This Row],[tip]]/tips[[#This Row],[total_bill]]</f>
        <v>0.10677083333333333</v>
      </c>
      <c r="I107" s="2">
        <f>tips[[#This Row],[total_bill]]/tips[[#This Row],[Customers]]</f>
        <v>7.68</v>
      </c>
      <c r="J107" s="2">
        <f>tips[[#This Row],[tip]]/tips[[#This Row],[Customers]]</f>
        <v>0.82</v>
      </c>
    </row>
    <row r="108" spans="1:10" x14ac:dyDescent="0.25">
      <c r="A108" s="2">
        <v>20.49</v>
      </c>
      <c r="B108" s="2">
        <v>4.0599999999999996</v>
      </c>
      <c r="C108" s="1" t="s">
        <v>10</v>
      </c>
      <c r="D108" s="1" t="s">
        <v>12</v>
      </c>
      <c r="E108" s="1" t="s">
        <v>11</v>
      </c>
      <c r="F108" s="1" t="s">
        <v>9</v>
      </c>
      <c r="G108">
        <v>2</v>
      </c>
      <c r="H108" s="3">
        <f>tips[[#This Row],[tip]]/tips[[#This Row],[total_bill]]</f>
        <v>0.19814543679843827</v>
      </c>
      <c r="I108" s="2">
        <f>tips[[#This Row],[total_bill]]/tips[[#This Row],[Customers]]</f>
        <v>10.244999999999999</v>
      </c>
      <c r="J108" s="2">
        <f>tips[[#This Row],[tip]]/tips[[#This Row],[Customers]]</f>
        <v>2.0299999999999998</v>
      </c>
    </row>
    <row r="109" spans="1:10" x14ac:dyDescent="0.25">
      <c r="A109" s="2">
        <v>25.21</v>
      </c>
      <c r="B109" s="2">
        <v>4.29</v>
      </c>
      <c r="C109" s="1" t="s">
        <v>10</v>
      </c>
      <c r="D109" s="1" t="s">
        <v>12</v>
      </c>
      <c r="E109" s="1" t="s">
        <v>11</v>
      </c>
      <c r="F109" s="1" t="s">
        <v>9</v>
      </c>
      <c r="G109">
        <v>2</v>
      </c>
      <c r="H109" s="3">
        <f>tips[[#This Row],[tip]]/tips[[#This Row],[total_bill]]</f>
        <v>0.17017056723522411</v>
      </c>
      <c r="I109" s="2">
        <f>tips[[#This Row],[total_bill]]/tips[[#This Row],[Customers]]</f>
        <v>12.605</v>
      </c>
      <c r="J109" s="2">
        <f>tips[[#This Row],[tip]]/tips[[#This Row],[Customers]]</f>
        <v>2.145</v>
      </c>
    </row>
    <row r="110" spans="1:10" x14ac:dyDescent="0.25">
      <c r="A110" s="2">
        <v>18.239999999999998</v>
      </c>
      <c r="B110" s="2">
        <v>3.76</v>
      </c>
      <c r="C110" s="1" t="s">
        <v>10</v>
      </c>
      <c r="D110" s="1" t="s">
        <v>7</v>
      </c>
      <c r="E110" s="1" t="s">
        <v>11</v>
      </c>
      <c r="F110" s="1" t="s">
        <v>9</v>
      </c>
      <c r="G110">
        <v>2</v>
      </c>
      <c r="H110" s="3">
        <f>tips[[#This Row],[tip]]/tips[[#This Row],[total_bill]]</f>
        <v>0.20614035087719298</v>
      </c>
      <c r="I110" s="2">
        <f>tips[[#This Row],[total_bill]]/tips[[#This Row],[Customers]]</f>
        <v>9.1199999999999992</v>
      </c>
      <c r="J110" s="2">
        <f>tips[[#This Row],[tip]]/tips[[#This Row],[Customers]]</f>
        <v>1.88</v>
      </c>
    </row>
    <row r="111" spans="1:10" x14ac:dyDescent="0.25">
      <c r="A111" s="2">
        <v>14.31</v>
      </c>
      <c r="B111" s="2">
        <v>4</v>
      </c>
      <c r="C111" s="1" t="s">
        <v>6</v>
      </c>
      <c r="D111" s="1" t="s">
        <v>12</v>
      </c>
      <c r="E111" s="1" t="s">
        <v>11</v>
      </c>
      <c r="F111" s="1" t="s">
        <v>9</v>
      </c>
      <c r="G111">
        <v>2</v>
      </c>
      <c r="H111" s="3">
        <f>tips[[#This Row],[tip]]/tips[[#This Row],[total_bill]]</f>
        <v>0.27952480782669459</v>
      </c>
      <c r="I111" s="2">
        <f>tips[[#This Row],[total_bill]]/tips[[#This Row],[Customers]]</f>
        <v>7.1550000000000002</v>
      </c>
      <c r="J111" s="2">
        <f>tips[[#This Row],[tip]]/tips[[#This Row],[Customers]]</f>
        <v>2</v>
      </c>
    </row>
    <row r="112" spans="1:10" x14ac:dyDescent="0.25">
      <c r="A112" s="2">
        <v>14</v>
      </c>
      <c r="B112" s="2">
        <v>3</v>
      </c>
      <c r="C112" s="1" t="s">
        <v>10</v>
      </c>
      <c r="D112" s="1" t="s">
        <v>7</v>
      </c>
      <c r="E112" s="1" t="s">
        <v>11</v>
      </c>
      <c r="F112" s="1" t="s">
        <v>9</v>
      </c>
      <c r="G112">
        <v>2</v>
      </c>
      <c r="H112" s="3">
        <f>tips[[#This Row],[tip]]/tips[[#This Row],[total_bill]]</f>
        <v>0.21428571428571427</v>
      </c>
      <c r="I112" s="2">
        <f>tips[[#This Row],[total_bill]]/tips[[#This Row],[Customers]]</f>
        <v>7</v>
      </c>
      <c r="J112" s="2">
        <f>tips[[#This Row],[tip]]/tips[[#This Row],[Customers]]</f>
        <v>1.5</v>
      </c>
    </row>
    <row r="113" spans="1:10" x14ac:dyDescent="0.25">
      <c r="A113" s="2">
        <v>7.25</v>
      </c>
      <c r="B113" s="2">
        <v>1</v>
      </c>
      <c r="C113" s="1" t="s">
        <v>6</v>
      </c>
      <c r="D113" s="1" t="s">
        <v>7</v>
      </c>
      <c r="E113" s="1" t="s">
        <v>11</v>
      </c>
      <c r="F113" s="1" t="s">
        <v>9</v>
      </c>
      <c r="G113">
        <v>1</v>
      </c>
      <c r="H113" s="3">
        <f>tips[[#This Row],[tip]]/tips[[#This Row],[total_bill]]</f>
        <v>0.13793103448275862</v>
      </c>
      <c r="I113" s="2">
        <f>tips[[#This Row],[total_bill]]/tips[[#This Row],[Customers]]</f>
        <v>7.25</v>
      </c>
      <c r="J113" s="2">
        <f>tips[[#This Row],[tip]]/tips[[#This Row],[Customers]]</f>
        <v>1</v>
      </c>
    </row>
    <row r="114" spans="1:10" x14ac:dyDescent="0.25">
      <c r="A114" s="2">
        <v>38.07</v>
      </c>
      <c r="B114" s="2">
        <v>4</v>
      </c>
      <c r="C114" s="1" t="s">
        <v>10</v>
      </c>
      <c r="D114" s="1" t="s">
        <v>7</v>
      </c>
      <c r="E114" s="1" t="s">
        <v>8</v>
      </c>
      <c r="F114" s="1" t="s">
        <v>9</v>
      </c>
      <c r="G114">
        <v>3</v>
      </c>
      <c r="H114" s="3">
        <f>tips[[#This Row],[tip]]/tips[[#This Row],[total_bill]]</f>
        <v>0.10506960861570791</v>
      </c>
      <c r="I114" s="2">
        <f>tips[[#This Row],[total_bill]]/tips[[#This Row],[Customers]]</f>
        <v>12.69</v>
      </c>
      <c r="J114" s="2">
        <f>tips[[#This Row],[tip]]/tips[[#This Row],[Customers]]</f>
        <v>1.3333333333333333</v>
      </c>
    </row>
    <row r="115" spans="1:10" x14ac:dyDescent="0.25">
      <c r="A115" s="2">
        <v>23.95</v>
      </c>
      <c r="B115" s="2">
        <v>2.5499999999999998</v>
      </c>
      <c r="C115" s="1" t="s">
        <v>10</v>
      </c>
      <c r="D115" s="1" t="s">
        <v>7</v>
      </c>
      <c r="E115" s="1" t="s">
        <v>8</v>
      </c>
      <c r="F115" s="1" t="s">
        <v>9</v>
      </c>
      <c r="G115">
        <v>2</v>
      </c>
      <c r="H115" s="3">
        <f>tips[[#This Row],[tip]]/tips[[#This Row],[total_bill]]</f>
        <v>0.10647181628392484</v>
      </c>
      <c r="I115" s="2">
        <f>tips[[#This Row],[total_bill]]/tips[[#This Row],[Customers]]</f>
        <v>11.975</v>
      </c>
      <c r="J115" s="2">
        <f>tips[[#This Row],[tip]]/tips[[#This Row],[Customers]]</f>
        <v>1.2749999999999999</v>
      </c>
    </row>
    <row r="116" spans="1:10" x14ac:dyDescent="0.25">
      <c r="A116" s="2">
        <v>25.71</v>
      </c>
      <c r="B116" s="2">
        <v>4</v>
      </c>
      <c r="C116" s="1" t="s">
        <v>6</v>
      </c>
      <c r="D116" s="1" t="s">
        <v>7</v>
      </c>
      <c r="E116" s="1" t="s">
        <v>8</v>
      </c>
      <c r="F116" s="1" t="s">
        <v>9</v>
      </c>
      <c r="G116">
        <v>3</v>
      </c>
      <c r="H116" s="3">
        <f>tips[[#This Row],[tip]]/tips[[#This Row],[total_bill]]</f>
        <v>0.15558148580318942</v>
      </c>
      <c r="I116" s="2">
        <f>tips[[#This Row],[total_bill]]/tips[[#This Row],[Customers]]</f>
        <v>8.57</v>
      </c>
      <c r="J116" s="2">
        <f>tips[[#This Row],[tip]]/tips[[#This Row],[Customers]]</f>
        <v>1.3333333333333333</v>
      </c>
    </row>
    <row r="117" spans="1:10" x14ac:dyDescent="0.25">
      <c r="A117" s="2">
        <v>17.309999999999999</v>
      </c>
      <c r="B117" s="2">
        <v>3.5</v>
      </c>
      <c r="C117" s="1" t="s">
        <v>6</v>
      </c>
      <c r="D117" s="1" t="s">
        <v>7</v>
      </c>
      <c r="E117" s="1" t="s">
        <v>8</v>
      </c>
      <c r="F117" s="1" t="s">
        <v>9</v>
      </c>
      <c r="G117">
        <v>2</v>
      </c>
      <c r="H117" s="3">
        <f>tips[[#This Row],[tip]]/tips[[#This Row],[total_bill]]</f>
        <v>0.20219526285384173</v>
      </c>
      <c r="I117" s="2">
        <f>tips[[#This Row],[total_bill]]/tips[[#This Row],[Customers]]</f>
        <v>8.6549999999999994</v>
      </c>
      <c r="J117" s="2">
        <f>tips[[#This Row],[tip]]/tips[[#This Row],[Customers]]</f>
        <v>1.75</v>
      </c>
    </row>
    <row r="118" spans="1:10" x14ac:dyDescent="0.25">
      <c r="A118" s="2">
        <v>29.93</v>
      </c>
      <c r="B118" s="2">
        <v>5.07</v>
      </c>
      <c r="C118" s="1" t="s">
        <v>10</v>
      </c>
      <c r="D118" s="1" t="s">
        <v>7</v>
      </c>
      <c r="E118" s="1" t="s">
        <v>8</v>
      </c>
      <c r="F118" s="1" t="s">
        <v>9</v>
      </c>
      <c r="G118">
        <v>4</v>
      </c>
      <c r="H118" s="3">
        <f>tips[[#This Row],[tip]]/tips[[#This Row],[total_bill]]</f>
        <v>0.1693952555963916</v>
      </c>
      <c r="I118" s="2">
        <f>tips[[#This Row],[total_bill]]/tips[[#This Row],[Customers]]</f>
        <v>7.4824999999999999</v>
      </c>
      <c r="J118" s="2">
        <f>tips[[#This Row],[tip]]/tips[[#This Row],[Customers]]</f>
        <v>1.2675000000000001</v>
      </c>
    </row>
    <row r="119" spans="1:10" x14ac:dyDescent="0.25">
      <c r="A119" s="2">
        <v>10.65</v>
      </c>
      <c r="B119" s="2">
        <v>1.5</v>
      </c>
      <c r="C119" s="1" t="s">
        <v>6</v>
      </c>
      <c r="D119" s="1" t="s">
        <v>7</v>
      </c>
      <c r="E119" s="1" t="s">
        <v>13</v>
      </c>
      <c r="F119" s="1" t="s">
        <v>14</v>
      </c>
      <c r="G119">
        <v>2</v>
      </c>
      <c r="H119" s="3">
        <f>tips[[#This Row],[tip]]/tips[[#This Row],[total_bill]]</f>
        <v>0.14084507042253522</v>
      </c>
      <c r="I119" s="2">
        <f>tips[[#This Row],[total_bill]]/tips[[#This Row],[Customers]]</f>
        <v>5.3250000000000002</v>
      </c>
      <c r="J119" s="2">
        <f>tips[[#This Row],[tip]]/tips[[#This Row],[Customers]]</f>
        <v>0.75</v>
      </c>
    </row>
    <row r="120" spans="1:10" x14ac:dyDescent="0.25">
      <c r="A120" s="2">
        <v>12.43</v>
      </c>
      <c r="B120" s="2">
        <v>1.8</v>
      </c>
      <c r="C120" s="1" t="s">
        <v>6</v>
      </c>
      <c r="D120" s="1" t="s">
        <v>7</v>
      </c>
      <c r="E120" s="1" t="s">
        <v>13</v>
      </c>
      <c r="F120" s="1" t="s">
        <v>14</v>
      </c>
      <c r="G120">
        <v>2</v>
      </c>
      <c r="H120" s="3">
        <f>tips[[#This Row],[tip]]/tips[[#This Row],[total_bill]]</f>
        <v>0.14481094127111827</v>
      </c>
      <c r="I120" s="2">
        <f>tips[[#This Row],[total_bill]]/tips[[#This Row],[Customers]]</f>
        <v>6.2149999999999999</v>
      </c>
      <c r="J120" s="2">
        <f>tips[[#This Row],[tip]]/tips[[#This Row],[Customers]]</f>
        <v>0.9</v>
      </c>
    </row>
    <row r="121" spans="1:10" x14ac:dyDescent="0.25">
      <c r="A121" s="2">
        <v>24.08</v>
      </c>
      <c r="B121" s="2">
        <v>2.92</v>
      </c>
      <c r="C121" s="1" t="s">
        <v>6</v>
      </c>
      <c r="D121" s="1" t="s">
        <v>7</v>
      </c>
      <c r="E121" s="1" t="s">
        <v>13</v>
      </c>
      <c r="F121" s="1" t="s">
        <v>14</v>
      </c>
      <c r="G121">
        <v>4</v>
      </c>
      <c r="H121" s="3">
        <f>tips[[#This Row],[tip]]/tips[[#This Row],[total_bill]]</f>
        <v>0.1212624584717608</v>
      </c>
      <c r="I121" s="2">
        <f>tips[[#This Row],[total_bill]]/tips[[#This Row],[Customers]]</f>
        <v>6.02</v>
      </c>
      <c r="J121" s="2">
        <f>tips[[#This Row],[tip]]/tips[[#This Row],[Customers]]</f>
        <v>0.73</v>
      </c>
    </row>
    <row r="122" spans="1:10" x14ac:dyDescent="0.25">
      <c r="A122" s="2">
        <v>11.69</v>
      </c>
      <c r="B122" s="2">
        <v>2.31</v>
      </c>
      <c r="C122" s="1" t="s">
        <v>10</v>
      </c>
      <c r="D122" s="1" t="s">
        <v>7</v>
      </c>
      <c r="E122" s="1" t="s">
        <v>13</v>
      </c>
      <c r="F122" s="1" t="s">
        <v>14</v>
      </c>
      <c r="G122">
        <v>2</v>
      </c>
      <c r="H122" s="3">
        <f>tips[[#This Row],[tip]]/tips[[#This Row],[total_bill]]</f>
        <v>0.19760479041916168</v>
      </c>
      <c r="I122" s="2">
        <f>tips[[#This Row],[total_bill]]/tips[[#This Row],[Customers]]</f>
        <v>5.8449999999999998</v>
      </c>
      <c r="J122" s="2">
        <f>tips[[#This Row],[tip]]/tips[[#This Row],[Customers]]</f>
        <v>1.155</v>
      </c>
    </row>
    <row r="123" spans="1:10" x14ac:dyDescent="0.25">
      <c r="A123" s="2">
        <v>13.42</v>
      </c>
      <c r="B123" s="2">
        <v>1.68</v>
      </c>
      <c r="C123" s="1" t="s">
        <v>6</v>
      </c>
      <c r="D123" s="1" t="s">
        <v>7</v>
      </c>
      <c r="E123" s="1" t="s">
        <v>13</v>
      </c>
      <c r="F123" s="1" t="s">
        <v>14</v>
      </c>
      <c r="G123">
        <v>2</v>
      </c>
      <c r="H123" s="3">
        <f>tips[[#This Row],[tip]]/tips[[#This Row],[total_bill]]</f>
        <v>0.12518628912071533</v>
      </c>
      <c r="I123" s="2">
        <f>tips[[#This Row],[total_bill]]/tips[[#This Row],[Customers]]</f>
        <v>6.71</v>
      </c>
      <c r="J123" s="2">
        <f>tips[[#This Row],[tip]]/tips[[#This Row],[Customers]]</f>
        <v>0.84</v>
      </c>
    </row>
    <row r="124" spans="1:10" x14ac:dyDescent="0.25">
      <c r="A124" s="2">
        <v>14.26</v>
      </c>
      <c r="B124" s="2">
        <v>2.5</v>
      </c>
      <c r="C124" s="1" t="s">
        <v>10</v>
      </c>
      <c r="D124" s="1" t="s">
        <v>7</v>
      </c>
      <c r="E124" s="1" t="s">
        <v>13</v>
      </c>
      <c r="F124" s="1" t="s">
        <v>14</v>
      </c>
      <c r="G124">
        <v>2</v>
      </c>
      <c r="H124" s="3">
        <f>tips[[#This Row],[tip]]/tips[[#This Row],[total_bill]]</f>
        <v>0.17531556802244039</v>
      </c>
      <c r="I124" s="2">
        <f>tips[[#This Row],[total_bill]]/tips[[#This Row],[Customers]]</f>
        <v>7.13</v>
      </c>
      <c r="J124" s="2">
        <f>tips[[#This Row],[tip]]/tips[[#This Row],[Customers]]</f>
        <v>1.25</v>
      </c>
    </row>
    <row r="125" spans="1:10" x14ac:dyDescent="0.25">
      <c r="A125" s="2">
        <v>15.95</v>
      </c>
      <c r="B125" s="2">
        <v>2</v>
      </c>
      <c r="C125" s="1" t="s">
        <v>10</v>
      </c>
      <c r="D125" s="1" t="s">
        <v>7</v>
      </c>
      <c r="E125" s="1" t="s">
        <v>13</v>
      </c>
      <c r="F125" s="1" t="s">
        <v>14</v>
      </c>
      <c r="G125">
        <v>2</v>
      </c>
      <c r="H125" s="3">
        <f>tips[[#This Row],[tip]]/tips[[#This Row],[total_bill]]</f>
        <v>0.12539184952978058</v>
      </c>
      <c r="I125" s="2">
        <f>tips[[#This Row],[total_bill]]/tips[[#This Row],[Customers]]</f>
        <v>7.9749999999999996</v>
      </c>
      <c r="J125" s="2">
        <f>tips[[#This Row],[tip]]/tips[[#This Row],[Customers]]</f>
        <v>1</v>
      </c>
    </row>
    <row r="126" spans="1:10" x14ac:dyDescent="0.25">
      <c r="A126" s="2">
        <v>12.48</v>
      </c>
      <c r="B126" s="2">
        <v>2.52</v>
      </c>
      <c r="C126" s="1" t="s">
        <v>6</v>
      </c>
      <c r="D126" s="1" t="s">
        <v>7</v>
      </c>
      <c r="E126" s="1" t="s">
        <v>13</v>
      </c>
      <c r="F126" s="1" t="s">
        <v>14</v>
      </c>
      <c r="G126">
        <v>2</v>
      </c>
      <c r="H126" s="3">
        <f>tips[[#This Row],[tip]]/tips[[#This Row],[total_bill]]</f>
        <v>0.20192307692307693</v>
      </c>
      <c r="I126" s="2">
        <f>tips[[#This Row],[total_bill]]/tips[[#This Row],[Customers]]</f>
        <v>6.24</v>
      </c>
      <c r="J126" s="2">
        <f>tips[[#This Row],[tip]]/tips[[#This Row],[Customers]]</f>
        <v>1.26</v>
      </c>
    </row>
    <row r="127" spans="1:10" x14ac:dyDescent="0.25">
      <c r="A127" s="2">
        <v>29.8</v>
      </c>
      <c r="B127" s="2">
        <v>4.2</v>
      </c>
      <c r="C127" s="1" t="s">
        <v>6</v>
      </c>
      <c r="D127" s="1" t="s">
        <v>7</v>
      </c>
      <c r="E127" s="1" t="s">
        <v>13</v>
      </c>
      <c r="F127" s="1" t="s">
        <v>14</v>
      </c>
      <c r="G127">
        <v>6</v>
      </c>
      <c r="H127" s="3">
        <f>tips[[#This Row],[tip]]/tips[[#This Row],[total_bill]]</f>
        <v>0.14093959731543623</v>
      </c>
      <c r="I127" s="2">
        <f>tips[[#This Row],[total_bill]]/tips[[#This Row],[Customers]]</f>
        <v>4.9666666666666668</v>
      </c>
      <c r="J127" s="2">
        <f>tips[[#This Row],[tip]]/tips[[#This Row],[Customers]]</f>
        <v>0.70000000000000007</v>
      </c>
    </row>
    <row r="128" spans="1:10" x14ac:dyDescent="0.25">
      <c r="A128" s="2">
        <v>8.52</v>
      </c>
      <c r="B128" s="2">
        <v>1.48</v>
      </c>
      <c r="C128" s="1" t="s">
        <v>10</v>
      </c>
      <c r="D128" s="1" t="s">
        <v>7</v>
      </c>
      <c r="E128" s="1" t="s">
        <v>13</v>
      </c>
      <c r="F128" s="1" t="s">
        <v>14</v>
      </c>
      <c r="G128">
        <v>2</v>
      </c>
      <c r="H128" s="3">
        <f>tips[[#This Row],[tip]]/tips[[#This Row],[total_bill]]</f>
        <v>0.17370892018779344</v>
      </c>
      <c r="I128" s="2">
        <f>tips[[#This Row],[total_bill]]/tips[[#This Row],[Customers]]</f>
        <v>4.26</v>
      </c>
      <c r="J128" s="2">
        <f>tips[[#This Row],[tip]]/tips[[#This Row],[Customers]]</f>
        <v>0.74</v>
      </c>
    </row>
    <row r="129" spans="1:10" x14ac:dyDescent="0.25">
      <c r="A129" s="2">
        <v>14.52</v>
      </c>
      <c r="B129" s="2">
        <v>2</v>
      </c>
      <c r="C129" s="1" t="s">
        <v>6</v>
      </c>
      <c r="D129" s="1" t="s">
        <v>7</v>
      </c>
      <c r="E129" s="1" t="s">
        <v>13</v>
      </c>
      <c r="F129" s="1" t="s">
        <v>14</v>
      </c>
      <c r="G129">
        <v>2</v>
      </c>
      <c r="H129" s="3">
        <f>tips[[#This Row],[tip]]/tips[[#This Row],[total_bill]]</f>
        <v>0.13774104683195593</v>
      </c>
      <c r="I129" s="2">
        <f>tips[[#This Row],[total_bill]]/tips[[#This Row],[Customers]]</f>
        <v>7.26</v>
      </c>
      <c r="J129" s="2">
        <f>tips[[#This Row],[tip]]/tips[[#This Row],[Customers]]</f>
        <v>1</v>
      </c>
    </row>
    <row r="130" spans="1:10" x14ac:dyDescent="0.25">
      <c r="A130" s="2">
        <v>11.38</v>
      </c>
      <c r="B130" s="2">
        <v>2</v>
      </c>
      <c r="C130" s="1" t="s">
        <v>6</v>
      </c>
      <c r="D130" s="1" t="s">
        <v>7</v>
      </c>
      <c r="E130" s="1" t="s">
        <v>13</v>
      </c>
      <c r="F130" s="1" t="s">
        <v>14</v>
      </c>
      <c r="G130">
        <v>2</v>
      </c>
      <c r="H130" s="3">
        <f>tips[[#This Row],[tip]]/tips[[#This Row],[total_bill]]</f>
        <v>0.17574692442882248</v>
      </c>
      <c r="I130" s="2">
        <f>tips[[#This Row],[total_bill]]/tips[[#This Row],[Customers]]</f>
        <v>5.69</v>
      </c>
      <c r="J130" s="2">
        <f>tips[[#This Row],[tip]]/tips[[#This Row],[Customers]]</f>
        <v>1</v>
      </c>
    </row>
    <row r="131" spans="1:10" x14ac:dyDescent="0.25">
      <c r="A131" s="2">
        <v>22.82</v>
      </c>
      <c r="B131" s="2">
        <v>2.1800000000000002</v>
      </c>
      <c r="C131" s="1" t="s">
        <v>10</v>
      </c>
      <c r="D131" s="1" t="s">
        <v>7</v>
      </c>
      <c r="E131" s="1" t="s">
        <v>13</v>
      </c>
      <c r="F131" s="1" t="s">
        <v>14</v>
      </c>
      <c r="G131">
        <v>3</v>
      </c>
      <c r="H131" s="3">
        <f>tips[[#This Row],[tip]]/tips[[#This Row],[total_bill]]</f>
        <v>9.5530236634531113E-2</v>
      </c>
      <c r="I131" s="2">
        <f>tips[[#This Row],[total_bill]]/tips[[#This Row],[Customers]]</f>
        <v>7.6066666666666665</v>
      </c>
      <c r="J131" s="2">
        <f>tips[[#This Row],[tip]]/tips[[#This Row],[Customers]]</f>
        <v>0.72666666666666668</v>
      </c>
    </row>
    <row r="132" spans="1:10" x14ac:dyDescent="0.25">
      <c r="A132" s="2">
        <v>19.079999999999998</v>
      </c>
      <c r="B132" s="2">
        <v>1.5</v>
      </c>
      <c r="C132" s="1" t="s">
        <v>10</v>
      </c>
      <c r="D132" s="1" t="s">
        <v>7</v>
      </c>
      <c r="E132" s="1" t="s">
        <v>13</v>
      </c>
      <c r="F132" s="1" t="s">
        <v>14</v>
      </c>
      <c r="G132">
        <v>2</v>
      </c>
      <c r="H132" s="3">
        <f>tips[[#This Row],[tip]]/tips[[#This Row],[total_bill]]</f>
        <v>7.8616352201257872E-2</v>
      </c>
      <c r="I132" s="2">
        <f>tips[[#This Row],[total_bill]]/tips[[#This Row],[Customers]]</f>
        <v>9.5399999999999991</v>
      </c>
      <c r="J132" s="2">
        <f>tips[[#This Row],[tip]]/tips[[#This Row],[Customers]]</f>
        <v>0.75</v>
      </c>
    </row>
    <row r="133" spans="1:10" x14ac:dyDescent="0.25">
      <c r="A133" s="2">
        <v>20.27</v>
      </c>
      <c r="B133" s="2">
        <v>2.83</v>
      </c>
      <c r="C133" s="1" t="s">
        <v>6</v>
      </c>
      <c r="D133" s="1" t="s">
        <v>7</v>
      </c>
      <c r="E133" s="1" t="s">
        <v>13</v>
      </c>
      <c r="F133" s="1" t="s">
        <v>14</v>
      </c>
      <c r="G133">
        <v>2</v>
      </c>
      <c r="H133" s="3">
        <f>tips[[#This Row],[tip]]/tips[[#This Row],[total_bill]]</f>
        <v>0.13961519486926494</v>
      </c>
      <c r="I133" s="2">
        <f>tips[[#This Row],[total_bill]]/tips[[#This Row],[Customers]]</f>
        <v>10.135</v>
      </c>
      <c r="J133" s="2">
        <f>tips[[#This Row],[tip]]/tips[[#This Row],[Customers]]</f>
        <v>1.415</v>
      </c>
    </row>
    <row r="134" spans="1:10" x14ac:dyDescent="0.25">
      <c r="A134" s="2">
        <v>11.17</v>
      </c>
      <c r="B134" s="2">
        <v>1.5</v>
      </c>
      <c r="C134" s="1" t="s">
        <v>6</v>
      </c>
      <c r="D134" s="1" t="s">
        <v>7</v>
      </c>
      <c r="E134" s="1" t="s">
        <v>13</v>
      </c>
      <c r="F134" s="1" t="s">
        <v>14</v>
      </c>
      <c r="G134">
        <v>2</v>
      </c>
      <c r="H134" s="3">
        <f>tips[[#This Row],[tip]]/tips[[#This Row],[total_bill]]</f>
        <v>0.13428827215756492</v>
      </c>
      <c r="I134" s="2">
        <f>tips[[#This Row],[total_bill]]/tips[[#This Row],[Customers]]</f>
        <v>5.585</v>
      </c>
      <c r="J134" s="2">
        <f>tips[[#This Row],[tip]]/tips[[#This Row],[Customers]]</f>
        <v>0.75</v>
      </c>
    </row>
    <row r="135" spans="1:10" x14ac:dyDescent="0.25">
      <c r="A135" s="2">
        <v>12.26</v>
      </c>
      <c r="B135" s="2">
        <v>2</v>
      </c>
      <c r="C135" s="1" t="s">
        <v>6</v>
      </c>
      <c r="D135" s="1" t="s">
        <v>7</v>
      </c>
      <c r="E135" s="1" t="s">
        <v>13</v>
      </c>
      <c r="F135" s="1" t="s">
        <v>14</v>
      </c>
      <c r="G135">
        <v>2</v>
      </c>
      <c r="H135" s="3">
        <f>tips[[#This Row],[tip]]/tips[[#This Row],[total_bill]]</f>
        <v>0.16313213703099511</v>
      </c>
      <c r="I135" s="2">
        <f>tips[[#This Row],[total_bill]]/tips[[#This Row],[Customers]]</f>
        <v>6.13</v>
      </c>
      <c r="J135" s="2">
        <f>tips[[#This Row],[tip]]/tips[[#This Row],[Customers]]</f>
        <v>1</v>
      </c>
    </row>
    <row r="136" spans="1:10" x14ac:dyDescent="0.25">
      <c r="A136" s="2">
        <v>18.260000000000002</v>
      </c>
      <c r="B136" s="2">
        <v>3.25</v>
      </c>
      <c r="C136" s="1" t="s">
        <v>6</v>
      </c>
      <c r="D136" s="1" t="s">
        <v>7</v>
      </c>
      <c r="E136" s="1" t="s">
        <v>13</v>
      </c>
      <c r="F136" s="1" t="s">
        <v>14</v>
      </c>
      <c r="G136">
        <v>2</v>
      </c>
      <c r="H136" s="3">
        <f>tips[[#This Row],[tip]]/tips[[#This Row],[total_bill]]</f>
        <v>0.17798466593647316</v>
      </c>
      <c r="I136" s="2">
        <f>tips[[#This Row],[total_bill]]/tips[[#This Row],[Customers]]</f>
        <v>9.1300000000000008</v>
      </c>
      <c r="J136" s="2">
        <f>tips[[#This Row],[tip]]/tips[[#This Row],[Customers]]</f>
        <v>1.625</v>
      </c>
    </row>
    <row r="137" spans="1:10" x14ac:dyDescent="0.25">
      <c r="A137" s="2">
        <v>8.51</v>
      </c>
      <c r="B137" s="2">
        <v>1.25</v>
      </c>
      <c r="C137" s="1" t="s">
        <v>6</v>
      </c>
      <c r="D137" s="1" t="s">
        <v>7</v>
      </c>
      <c r="E137" s="1" t="s">
        <v>13</v>
      </c>
      <c r="F137" s="1" t="s">
        <v>14</v>
      </c>
      <c r="G137">
        <v>2</v>
      </c>
      <c r="H137" s="3">
        <f>tips[[#This Row],[tip]]/tips[[#This Row],[total_bill]]</f>
        <v>0.14688601645123384</v>
      </c>
      <c r="I137" s="2">
        <f>tips[[#This Row],[total_bill]]/tips[[#This Row],[Customers]]</f>
        <v>4.2549999999999999</v>
      </c>
      <c r="J137" s="2">
        <f>tips[[#This Row],[tip]]/tips[[#This Row],[Customers]]</f>
        <v>0.625</v>
      </c>
    </row>
    <row r="138" spans="1:10" x14ac:dyDescent="0.25">
      <c r="A138" s="2">
        <v>10.33</v>
      </c>
      <c r="B138" s="2">
        <v>2</v>
      </c>
      <c r="C138" s="1" t="s">
        <v>6</v>
      </c>
      <c r="D138" s="1" t="s">
        <v>7</v>
      </c>
      <c r="E138" s="1" t="s">
        <v>13</v>
      </c>
      <c r="F138" s="1" t="s">
        <v>14</v>
      </c>
      <c r="G138">
        <v>2</v>
      </c>
      <c r="H138" s="3">
        <f>tips[[#This Row],[tip]]/tips[[#This Row],[total_bill]]</f>
        <v>0.1936108422071636</v>
      </c>
      <c r="I138" s="2">
        <f>tips[[#This Row],[total_bill]]/tips[[#This Row],[Customers]]</f>
        <v>5.165</v>
      </c>
      <c r="J138" s="2">
        <f>tips[[#This Row],[tip]]/tips[[#This Row],[Customers]]</f>
        <v>1</v>
      </c>
    </row>
    <row r="139" spans="1:10" x14ac:dyDescent="0.25">
      <c r="A139" s="2">
        <v>14.15</v>
      </c>
      <c r="B139" s="2">
        <v>2</v>
      </c>
      <c r="C139" s="1" t="s">
        <v>6</v>
      </c>
      <c r="D139" s="1" t="s">
        <v>7</v>
      </c>
      <c r="E139" s="1" t="s">
        <v>13</v>
      </c>
      <c r="F139" s="1" t="s">
        <v>14</v>
      </c>
      <c r="G139">
        <v>2</v>
      </c>
      <c r="H139" s="3">
        <f>tips[[#This Row],[tip]]/tips[[#This Row],[total_bill]]</f>
        <v>0.14134275618374559</v>
      </c>
      <c r="I139" s="2">
        <f>tips[[#This Row],[total_bill]]/tips[[#This Row],[Customers]]</f>
        <v>7.0750000000000002</v>
      </c>
      <c r="J139" s="2">
        <f>tips[[#This Row],[tip]]/tips[[#This Row],[Customers]]</f>
        <v>1</v>
      </c>
    </row>
    <row r="140" spans="1:10" x14ac:dyDescent="0.25">
      <c r="A140" s="2">
        <v>16</v>
      </c>
      <c r="B140" s="2">
        <v>2</v>
      </c>
      <c r="C140" s="1" t="s">
        <v>10</v>
      </c>
      <c r="D140" s="1" t="s">
        <v>12</v>
      </c>
      <c r="E140" s="1" t="s">
        <v>13</v>
      </c>
      <c r="F140" s="1" t="s">
        <v>14</v>
      </c>
      <c r="G140">
        <v>2</v>
      </c>
      <c r="H140" s="3">
        <f>tips[[#This Row],[tip]]/tips[[#This Row],[total_bill]]</f>
        <v>0.125</v>
      </c>
      <c r="I140" s="2">
        <f>tips[[#This Row],[total_bill]]/tips[[#This Row],[Customers]]</f>
        <v>8</v>
      </c>
      <c r="J140" s="2">
        <f>tips[[#This Row],[tip]]/tips[[#This Row],[Customers]]</f>
        <v>1</v>
      </c>
    </row>
    <row r="141" spans="1:10" x14ac:dyDescent="0.25">
      <c r="A141" s="2">
        <v>13.16</v>
      </c>
      <c r="B141" s="2">
        <v>2.75</v>
      </c>
      <c r="C141" s="1" t="s">
        <v>6</v>
      </c>
      <c r="D141" s="1" t="s">
        <v>7</v>
      </c>
      <c r="E141" s="1" t="s">
        <v>13</v>
      </c>
      <c r="F141" s="1" t="s">
        <v>14</v>
      </c>
      <c r="G141">
        <v>2</v>
      </c>
      <c r="H141" s="3">
        <f>tips[[#This Row],[tip]]/tips[[#This Row],[total_bill]]</f>
        <v>0.20896656534954408</v>
      </c>
      <c r="I141" s="2">
        <f>tips[[#This Row],[total_bill]]/tips[[#This Row],[Customers]]</f>
        <v>6.58</v>
      </c>
      <c r="J141" s="2">
        <f>tips[[#This Row],[tip]]/tips[[#This Row],[Customers]]</f>
        <v>1.375</v>
      </c>
    </row>
    <row r="142" spans="1:10" x14ac:dyDescent="0.25">
      <c r="A142" s="2">
        <v>17.47</v>
      </c>
      <c r="B142" s="2">
        <v>3.5</v>
      </c>
      <c r="C142" s="1" t="s">
        <v>6</v>
      </c>
      <c r="D142" s="1" t="s">
        <v>7</v>
      </c>
      <c r="E142" s="1" t="s">
        <v>13</v>
      </c>
      <c r="F142" s="1" t="s">
        <v>14</v>
      </c>
      <c r="G142">
        <v>2</v>
      </c>
      <c r="H142" s="3">
        <f>tips[[#This Row],[tip]]/tips[[#This Row],[total_bill]]</f>
        <v>0.20034344590726963</v>
      </c>
      <c r="I142" s="2">
        <f>tips[[#This Row],[total_bill]]/tips[[#This Row],[Customers]]</f>
        <v>8.7349999999999994</v>
      </c>
      <c r="J142" s="2">
        <f>tips[[#This Row],[tip]]/tips[[#This Row],[Customers]]</f>
        <v>1.75</v>
      </c>
    </row>
    <row r="143" spans="1:10" x14ac:dyDescent="0.25">
      <c r="A143" s="2">
        <v>34.299999999999997</v>
      </c>
      <c r="B143" s="2">
        <v>6.7</v>
      </c>
      <c r="C143" s="1" t="s">
        <v>10</v>
      </c>
      <c r="D143" s="1" t="s">
        <v>7</v>
      </c>
      <c r="E143" s="1" t="s">
        <v>13</v>
      </c>
      <c r="F143" s="1" t="s">
        <v>14</v>
      </c>
      <c r="G143">
        <v>6</v>
      </c>
      <c r="H143" s="3">
        <f>tips[[#This Row],[tip]]/tips[[#This Row],[total_bill]]</f>
        <v>0.19533527696793004</v>
      </c>
      <c r="I143" s="2">
        <f>tips[[#This Row],[total_bill]]/tips[[#This Row],[Customers]]</f>
        <v>5.7166666666666659</v>
      </c>
      <c r="J143" s="2">
        <f>tips[[#This Row],[tip]]/tips[[#This Row],[Customers]]</f>
        <v>1.1166666666666667</v>
      </c>
    </row>
    <row r="144" spans="1:10" x14ac:dyDescent="0.25">
      <c r="A144" s="2">
        <v>41.19</v>
      </c>
      <c r="B144" s="2">
        <v>5</v>
      </c>
      <c r="C144" s="1" t="s">
        <v>10</v>
      </c>
      <c r="D144" s="1" t="s">
        <v>7</v>
      </c>
      <c r="E144" s="1" t="s">
        <v>13</v>
      </c>
      <c r="F144" s="1" t="s">
        <v>14</v>
      </c>
      <c r="G144">
        <v>5</v>
      </c>
      <c r="H144" s="3">
        <f>tips[[#This Row],[tip]]/tips[[#This Row],[total_bill]]</f>
        <v>0.12138868657441128</v>
      </c>
      <c r="I144" s="2">
        <f>tips[[#This Row],[total_bill]]/tips[[#This Row],[Customers]]</f>
        <v>8.2379999999999995</v>
      </c>
      <c r="J144" s="2">
        <f>tips[[#This Row],[tip]]/tips[[#This Row],[Customers]]</f>
        <v>1</v>
      </c>
    </row>
    <row r="145" spans="1:10" x14ac:dyDescent="0.25">
      <c r="A145" s="2">
        <v>27.05</v>
      </c>
      <c r="B145" s="2">
        <v>5</v>
      </c>
      <c r="C145" s="1" t="s">
        <v>6</v>
      </c>
      <c r="D145" s="1" t="s">
        <v>7</v>
      </c>
      <c r="E145" s="1" t="s">
        <v>13</v>
      </c>
      <c r="F145" s="1" t="s">
        <v>14</v>
      </c>
      <c r="G145">
        <v>6</v>
      </c>
      <c r="H145" s="3">
        <f>tips[[#This Row],[tip]]/tips[[#This Row],[total_bill]]</f>
        <v>0.18484288354898337</v>
      </c>
      <c r="I145" s="2">
        <f>tips[[#This Row],[total_bill]]/tips[[#This Row],[Customers]]</f>
        <v>4.5083333333333337</v>
      </c>
      <c r="J145" s="2">
        <f>tips[[#This Row],[tip]]/tips[[#This Row],[Customers]]</f>
        <v>0.83333333333333337</v>
      </c>
    </row>
    <row r="146" spans="1:10" x14ac:dyDescent="0.25">
      <c r="A146" s="2">
        <v>16.43</v>
      </c>
      <c r="B146" s="2">
        <v>2.2999999999999998</v>
      </c>
      <c r="C146" s="1" t="s">
        <v>6</v>
      </c>
      <c r="D146" s="1" t="s">
        <v>7</v>
      </c>
      <c r="E146" s="1" t="s">
        <v>13</v>
      </c>
      <c r="F146" s="1" t="s">
        <v>14</v>
      </c>
      <c r="G146">
        <v>2</v>
      </c>
      <c r="H146" s="3">
        <f>tips[[#This Row],[tip]]/tips[[#This Row],[total_bill]]</f>
        <v>0.13998782714546559</v>
      </c>
      <c r="I146" s="2">
        <f>tips[[#This Row],[total_bill]]/tips[[#This Row],[Customers]]</f>
        <v>8.2149999999999999</v>
      </c>
      <c r="J146" s="2">
        <f>tips[[#This Row],[tip]]/tips[[#This Row],[Customers]]</f>
        <v>1.1499999999999999</v>
      </c>
    </row>
    <row r="147" spans="1:10" x14ac:dyDescent="0.25">
      <c r="A147" s="2">
        <v>8.35</v>
      </c>
      <c r="B147" s="2">
        <v>1.5</v>
      </c>
      <c r="C147" s="1" t="s">
        <v>6</v>
      </c>
      <c r="D147" s="1" t="s">
        <v>7</v>
      </c>
      <c r="E147" s="1" t="s">
        <v>13</v>
      </c>
      <c r="F147" s="1" t="s">
        <v>14</v>
      </c>
      <c r="G147">
        <v>2</v>
      </c>
      <c r="H147" s="3">
        <f>tips[[#This Row],[tip]]/tips[[#This Row],[total_bill]]</f>
        <v>0.17964071856287425</v>
      </c>
      <c r="I147" s="2">
        <f>tips[[#This Row],[total_bill]]/tips[[#This Row],[Customers]]</f>
        <v>4.1749999999999998</v>
      </c>
      <c r="J147" s="2">
        <f>tips[[#This Row],[tip]]/tips[[#This Row],[Customers]]</f>
        <v>0.75</v>
      </c>
    </row>
    <row r="148" spans="1:10" x14ac:dyDescent="0.25">
      <c r="A148" s="2">
        <v>18.64</v>
      </c>
      <c r="B148" s="2">
        <v>1.36</v>
      </c>
      <c r="C148" s="1" t="s">
        <v>6</v>
      </c>
      <c r="D148" s="1" t="s">
        <v>7</v>
      </c>
      <c r="E148" s="1" t="s">
        <v>13</v>
      </c>
      <c r="F148" s="1" t="s">
        <v>14</v>
      </c>
      <c r="G148">
        <v>3</v>
      </c>
      <c r="H148" s="3">
        <f>tips[[#This Row],[tip]]/tips[[#This Row],[total_bill]]</f>
        <v>7.2961373390557943E-2</v>
      </c>
      <c r="I148" s="2">
        <f>tips[[#This Row],[total_bill]]/tips[[#This Row],[Customers]]</f>
        <v>6.2133333333333338</v>
      </c>
      <c r="J148" s="2">
        <f>tips[[#This Row],[tip]]/tips[[#This Row],[Customers]]</f>
        <v>0.45333333333333337</v>
      </c>
    </row>
    <row r="149" spans="1:10" x14ac:dyDescent="0.25">
      <c r="A149" s="2">
        <v>11.87</v>
      </c>
      <c r="B149" s="2">
        <v>1.63</v>
      </c>
      <c r="C149" s="1" t="s">
        <v>6</v>
      </c>
      <c r="D149" s="1" t="s">
        <v>7</v>
      </c>
      <c r="E149" s="1" t="s">
        <v>13</v>
      </c>
      <c r="F149" s="1" t="s">
        <v>14</v>
      </c>
      <c r="G149">
        <v>2</v>
      </c>
      <c r="H149" s="3">
        <f>tips[[#This Row],[tip]]/tips[[#This Row],[total_bill]]</f>
        <v>0.13732097725358045</v>
      </c>
      <c r="I149" s="2">
        <f>tips[[#This Row],[total_bill]]/tips[[#This Row],[Customers]]</f>
        <v>5.9349999999999996</v>
      </c>
      <c r="J149" s="2">
        <f>tips[[#This Row],[tip]]/tips[[#This Row],[Customers]]</f>
        <v>0.81499999999999995</v>
      </c>
    </row>
    <row r="150" spans="1:10" x14ac:dyDescent="0.25">
      <c r="A150" s="2">
        <v>9.7799999999999994</v>
      </c>
      <c r="B150" s="2">
        <v>1.73</v>
      </c>
      <c r="C150" s="1" t="s">
        <v>10</v>
      </c>
      <c r="D150" s="1" t="s">
        <v>7</v>
      </c>
      <c r="E150" s="1" t="s">
        <v>13</v>
      </c>
      <c r="F150" s="1" t="s">
        <v>14</v>
      </c>
      <c r="G150">
        <v>2</v>
      </c>
      <c r="H150" s="3">
        <f>tips[[#This Row],[tip]]/tips[[#This Row],[total_bill]]</f>
        <v>0.17689161554192229</v>
      </c>
      <c r="I150" s="2">
        <f>tips[[#This Row],[total_bill]]/tips[[#This Row],[Customers]]</f>
        <v>4.8899999999999997</v>
      </c>
      <c r="J150" s="2">
        <f>tips[[#This Row],[tip]]/tips[[#This Row],[Customers]]</f>
        <v>0.86499999999999999</v>
      </c>
    </row>
    <row r="151" spans="1:10" x14ac:dyDescent="0.25">
      <c r="A151" s="2">
        <v>7.51</v>
      </c>
      <c r="B151" s="2">
        <v>2</v>
      </c>
      <c r="C151" s="1" t="s">
        <v>10</v>
      </c>
      <c r="D151" s="1" t="s">
        <v>7</v>
      </c>
      <c r="E151" s="1" t="s">
        <v>13</v>
      </c>
      <c r="F151" s="1" t="s">
        <v>14</v>
      </c>
      <c r="G151">
        <v>2</v>
      </c>
      <c r="H151" s="3">
        <f>tips[[#This Row],[tip]]/tips[[#This Row],[total_bill]]</f>
        <v>0.26631158455392812</v>
      </c>
      <c r="I151" s="2">
        <f>tips[[#This Row],[total_bill]]/tips[[#This Row],[Customers]]</f>
        <v>3.7549999999999999</v>
      </c>
      <c r="J151" s="2">
        <f>tips[[#This Row],[tip]]/tips[[#This Row],[Customers]]</f>
        <v>1</v>
      </c>
    </row>
    <row r="152" spans="1:10" x14ac:dyDescent="0.25">
      <c r="A152" s="2">
        <v>14.07</v>
      </c>
      <c r="B152" s="2">
        <v>2.5</v>
      </c>
      <c r="C152" s="1" t="s">
        <v>10</v>
      </c>
      <c r="D152" s="1" t="s">
        <v>7</v>
      </c>
      <c r="E152" s="1" t="s">
        <v>8</v>
      </c>
      <c r="F152" s="1" t="s">
        <v>9</v>
      </c>
      <c r="G152">
        <v>2</v>
      </c>
      <c r="H152" s="3">
        <f>tips[[#This Row],[tip]]/tips[[#This Row],[total_bill]]</f>
        <v>0.17768301350390903</v>
      </c>
      <c r="I152" s="2">
        <f>tips[[#This Row],[total_bill]]/tips[[#This Row],[Customers]]</f>
        <v>7.0350000000000001</v>
      </c>
      <c r="J152" s="2">
        <f>tips[[#This Row],[tip]]/tips[[#This Row],[Customers]]</f>
        <v>1.25</v>
      </c>
    </row>
    <row r="153" spans="1:10" x14ac:dyDescent="0.25">
      <c r="A153" s="2">
        <v>13.13</v>
      </c>
      <c r="B153" s="2">
        <v>2</v>
      </c>
      <c r="C153" s="1" t="s">
        <v>10</v>
      </c>
      <c r="D153" s="1" t="s">
        <v>7</v>
      </c>
      <c r="E153" s="1" t="s">
        <v>8</v>
      </c>
      <c r="F153" s="1" t="s">
        <v>9</v>
      </c>
      <c r="G153">
        <v>2</v>
      </c>
      <c r="H153" s="3">
        <f>tips[[#This Row],[tip]]/tips[[#This Row],[total_bill]]</f>
        <v>0.15232292460015232</v>
      </c>
      <c r="I153" s="2">
        <f>tips[[#This Row],[total_bill]]/tips[[#This Row],[Customers]]</f>
        <v>6.5650000000000004</v>
      </c>
      <c r="J153" s="2">
        <f>tips[[#This Row],[tip]]/tips[[#This Row],[Customers]]</f>
        <v>1</v>
      </c>
    </row>
    <row r="154" spans="1:10" x14ac:dyDescent="0.25">
      <c r="A154" s="2">
        <v>17.260000000000002</v>
      </c>
      <c r="B154" s="2">
        <v>2.74</v>
      </c>
      <c r="C154" s="1" t="s">
        <v>10</v>
      </c>
      <c r="D154" s="1" t="s">
        <v>7</v>
      </c>
      <c r="E154" s="1" t="s">
        <v>8</v>
      </c>
      <c r="F154" s="1" t="s">
        <v>9</v>
      </c>
      <c r="G154">
        <v>3</v>
      </c>
      <c r="H154" s="3">
        <f>tips[[#This Row],[tip]]/tips[[#This Row],[total_bill]]</f>
        <v>0.15874855156431053</v>
      </c>
      <c r="I154" s="2">
        <f>tips[[#This Row],[total_bill]]/tips[[#This Row],[Customers]]</f>
        <v>5.7533333333333339</v>
      </c>
      <c r="J154" s="2">
        <f>tips[[#This Row],[tip]]/tips[[#This Row],[Customers]]</f>
        <v>0.91333333333333344</v>
      </c>
    </row>
    <row r="155" spans="1:10" x14ac:dyDescent="0.25">
      <c r="A155" s="2">
        <v>24.55</v>
      </c>
      <c r="B155" s="2">
        <v>2</v>
      </c>
      <c r="C155" s="1" t="s">
        <v>10</v>
      </c>
      <c r="D155" s="1" t="s">
        <v>7</v>
      </c>
      <c r="E155" s="1" t="s">
        <v>8</v>
      </c>
      <c r="F155" s="1" t="s">
        <v>9</v>
      </c>
      <c r="G155">
        <v>4</v>
      </c>
      <c r="H155" s="3">
        <f>tips[[#This Row],[tip]]/tips[[#This Row],[total_bill]]</f>
        <v>8.1466395112016296E-2</v>
      </c>
      <c r="I155" s="2">
        <f>tips[[#This Row],[total_bill]]/tips[[#This Row],[Customers]]</f>
        <v>6.1375000000000002</v>
      </c>
      <c r="J155" s="2">
        <f>tips[[#This Row],[tip]]/tips[[#This Row],[Customers]]</f>
        <v>0.5</v>
      </c>
    </row>
    <row r="156" spans="1:10" x14ac:dyDescent="0.25">
      <c r="A156" s="2">
        <v>19.77</v>
      </c>
      <c r="B156" s="2">
        <v>2</v>
      </c>
      <c r="C156" s="1" t="s">
        <v>10</v>
      </c>
      <c r="D156" s="1" t="s">
        <v>7</v>
      </c>
      <c r="E156" s="1" t="s">
        <v>8</v>
      </c>
      <c r="F156" s="1" t="s">
        <v>9</v>
      </c>
      <c r="G156">
        <v>4</v>
      </c>
      <c r="H156" s="3">
        <f>tips[[#This Row],[tip]]/tips[[#This Row],[total_bill]]</f>
        <v>0.10116337885685382</v>
      </c>
      <c r="I156" s="2">
        <f>tips[[#This Row],[total_bill]]/tips[[#This Row],[Customers]]</f>
        <v>4.9424999999999999</v>
      </c>
      <c r="J156" s="2">
        <f>tips[[#This Row],[tip]]/tips[[#This Row],[Customers]]</f>
        <v>0.5</v>
      </c>
    </row>
    <row r="157" spans="1:10" x14ac:dyDescent="0.25">
      <c r="A157" s="2">
        <v>29.85</v>
      </c>
      <c r="B157" s="2">
        <v>5.14</v>
      </c>
      <c r="C157" s="1" t="s">
        <v>6</v>
      </c>
      <c r="D157" s="1" t="s">
        <v>7</v>
      </c>
      <c r="E157" s="1" t="s">
        <v>8</v>
      </c>
      <c r="F157" s="1" t="s">
        <v>9</v>
      </c>
      <c r="G157">
        <v>5</v>
      </c>
      <c r="H157" s="3">
        <f>tips[[#This Row],[tip]]/tips[[#This Row],[total_bill]]</f>
        <v>0.17219430485762141</v>
      </c>
      <c r="I157" s="2">
        <f>tips[[#This Row],[total_bill]]/tips[[#This Row],[Customers]]</f>
        <v>5.9700000000000006</v>
      </c>
      <c r="J157" s="2">
        <f>tips[[#This Row],[tip]]/tips[[#This Row],[Customers]]</f>
        <v>1.028</v>
      </c>
    </row>
    <row r="158" spans="1:10" x14ac:dyDescent="0.25">
      <c r="A158" s="2">
        <v>48.17</v>
      </c>
      <c r="B158" s="2">
        <v>5</v>
      </c>
      <c r="C158" s="1" t="s">
        <v>10</v>
      </c>
      <c r="D158" s="1" t="s">
        <v>7</v>
      </c>
      <c r="E158" s="1" t="s">
        <v>8</v>
      </c>
      <c r="F158" s="1" t="s">
        <v>9</v>
      </c>
      <c r="G158">
        <v>6</v>
      </c>
      <c r="H158" s="3">
        <f>tips[[#This Row],[tip]]/tips[[#This Row],[total_bill]]</f>
        <v>0.10379904504878555</v>
      </c>
      <c r="I158" s="2">
        <f>tips[[#This Row],[total_bill]]/tips[[#This Row],[Customers]]</f>
        <v>8.0283333333333342</v>
      </c>
      <c r="J158" s="2">
        <f>tips[[#This Row],[tip]]/tips[[#This Row],[Customers]]</f>
        <v>0.83333333333333337</v>
      </c>
    </row>
    <row r="159" spans="1:10" x14ac:dyDescent="0.25">
      <c r="A159" s="2">
        <v>25</v>
      </c>
      <c r="B159" s="2">
        <v>3.75</v>
      </c>
      <c r="C159" s="1" t="s">
        <v>6</v>
      </c>
      <c r="D159" s="1" t="s">
        <v>7</v>
      </c>
      <c r="E159" s="1" t="s">
        <v>8</v>
      </c>
      <c r="F159" s="1" t="s">
        <v>9</v>
      </c>
      <c r="G159">
        <v>4</v>
      </c>
      <c r="H159" s="3">
        <f>tips[[#This Row],[tip]]/tips[[#This Row],[total_bill]]</f>
        <v>0.15</v>
      </c>
      <c r="I159" s="2">
        <f>tips[[#This Row],[total_bill]]/tips[[#This Row],[Customers]]</f>
        <v>6.25</v>
      </c>
      <c r="J159" s="2">
        <f>tips[[#This Row],[tip]]/tips[[#This Row],[Customers]]</f>
        <v>0.9375</v>
      </c>
    </row>
    <row r="160" spans="1:10" x14ac:dyDescent="0.25">
      <c r="A160" s="2">
        <v>13.39</v>
      </c>
      <c r="B160" s="2">
        <v>2.61</v>
      </c>
      <c r="C160" s="1" t="s">
        <v>6</v>
      </c>
      <c r="D160" s="1" t="s">
        <v>7</v>
      </c>
      <c r="E160" s="1" t="s">
        <v>8</v>
      </c>
      <c r="F160" s="1" t="s">
        <v>9</v>
      </c>
      <c r="G160">
        <v>2</v>
      </c>
      <c r="H160" s="3">
        <f>tips[[#This Row],[tip]]/tips[[#This Row],[total_bill]]</f>
        <v>0.19492158327109782</v>
      </c>
      <c r="I160" s="2">
        <f>tips[[#This Row],[total_bill]]/tips[[#This Row],[Customers]]</f>
        <v>6.6950000000000003</v>
      </c>
      <c r="J160" s="2">
        <f>tips[[#This Row],[tip]]/tips[[#This Row],[Customers]]</f>
        <v>1.3049999999999999</v>
      </c>
    </row>
    <row r="161" spans="1:10" x14ac:dyDescent="0.25">
      <c r="A161" s="2">
        <v>16.489999999999998</v>
      </c>
      <c r="B161" s="2">
        <v>2</v>
      </c>
      <c r="C161" s="1" t="s">
        <v>10</v>
      </c>
      <c r="D161" s="1" t="s">
        <v>7</v>
      </c>
      <c r="E161" s="1" t="s">
        <v>8</v>
      </c>
      <c r="F161" s="1" t="s">
        <v>9</v>
      </c>
      <c r="G161">
        <v>4</v>
      </c>
      <c r="H161" s="3">
        <f>tips[[#This Row],[tip]]/tips[[#This Row],[total_bill]]</f>
        <v>0.12128562765312312</v>
      </c>
      <c r="I161" s="2">
        <f>tips[[#This Row],[total_bill]]/tips[[#This Row],[Customers]]</f>
        <v>4.1224999999999996</v>
      </c>
      <c r="J161" s="2">
        <f>tips[[#This Row],[tip]]/tips[[#This Row],[Customers]]</f>
        <v>0.5</v>
      </c>
    </row>
    <row r="162" spans="1:10" x14ac:dyDescent="0.25">
      <c r="A162" s="2">
        <v>21.5</v>
      </c>
      <c r="B162" s="2">
        <v>3.5</v>
      </c>
      <c r="C162" s="1" t="s">
        <v>10</v>
      </c>
      <c r="D162" s="1" t="s">
        <v>7</v>
      </c>
      <c r="E162" s="1" t="s">
        <v>8</v>
      </c>
      <c r="F162" s="1" t="s">
        <v>9</v>
      </c>
      <c r="G162">
        <v>4</v>
      </c>
      <c r="H162" s="3">
        <f>tips[[#This Row],[tip]]/tips[[#This Row],[total_bill]]</f>
        <v>0.16279069767441862</v>
      </c>
      <c r="I162" s="2">
        <f>tips[[#This Row],[total_bill]]/tips[[#This Row],[Customers]]</f>
        <v>5.375</v>
      </c>
      <c r="J162" s="2">
        <f>tips[[#This Row],[tip]]/tips[[#This Row],[Customers]]</f>
        <v>0.875</v>
      </c>
    </row>
    <row r="163" spans="1:10" x14ac:dyDescent="0.25">
      <c r="A163" s="2">
        <v>12.66</v>
      </c>
      <c r="B163" s="2">
        <v>2.5</v>
      </c>
      <c r="C163" s="1" t="s">
        <v>10</v>
      </c>
      <c r="D163" s="1" t="s">
        <v>7</v>
      </c>
      <c r="E163" s="1" t="s">
        <v>8</v>
      </c>
      <c r="F163" s="1" t="s">
        <v>9</v>
      </c>
      <c r="G163">
        <v>2</v>
      </c>
      <c r="H163" s="3">
        <f>tips[[#This Row],[tip]]/tips[[#This Row],[total_bill]]</f>
        <v>0.19747235387045814</v>
      </c>
      <c r="I163" s="2">
        <f>tips[[#This Row],[total_bill]]/tips[[#This Row],[Customers]]</f>
        <v>6.33</v>
      </c>
      <c r="J163" s="2">
        <f>tips[[#This Row],[tip]]/tips[[#This Row],[Customers]]</f>
        <v>1.25</v>
      </c>
    </row>
    <row r="164" spans="1:10" x14ac:dyDescent="0.25">
      <c r="A164" s="2">
        <v>16.21</v>
      </c>
      <c r="B164" s="2">
        <v>2</v>
      </c>
      <c r="C164" s="1" t="s">
        <v>6</v>
      </c>
      <c r="D164" s="1" t="s">
        <v>7</v>
      </c>
      <c r="E164" s="1" t="s">
        <v>8</v>
      </c>
      <c r="F164" s="1" t="s">
        <v>9</v>
      </c>
      <c r="G164">
        <v>3</v>
      </c>
      <c r="H164" s="3">
        <f>tips[[#This Row],[tip]]/tips[[#This Row],[total_bill]]</f>
        <v>0.12338062924120913</v>
      </c>
      <c r="I164" s="2">
        <f>tips[[#This Row],[total_bill]]/tips[[#This Row],[Customers]]</f>
        <v>5.4033333333333333</v>
      </c>
      <c r="J164" s="2">
        <f>tips[[#This Row],[tip]]/tips[[#This Row],[Customers]]</f>
        <v>0.66666666666666663</v>
      </c>
    </row>
    <row r="165" spans="1:10" x14ac:dyDescent="0.25">
      <c r="A165" s="2">
        <v>13.81</v>
      </c>
      <c r="B165" s="2">
        <v>2</v>
      </c>
      <c r="C165" s="1" t="s">
        <v>10</v>
      </c>
      <c r="D165" s="1" t="s">
        <v>7</v>
      </c>
      <c r="E165" s="1" t="s">
        <v>8</v>
      </c>
      <c r="F165" s="1" t="s">
        <v>9</v>
      </c>
      <c r="G165">
        <v>2</v>
      </c>
      <c r="H165" s="3">
        <f>tips[[#This Row],[tip]]/tips[[#This Row],[total_bill]]</f>
        <v>0.14482259232440259</v>
      </c>
      <c r="I165" s="2">
        <f>tips[[#This Row],[total_bill]]/tips[[#This Row],[Customers]]</f>
        <v>6.9050000000000002</v>
      </c>
      <c r="J165" s="2">
        <f>tips[[#This Row],[tip]]/tips[[#This Row],[Customers]]</f>
        <v>1</v>
      </c>
    </row>
    <row r="166" spans="1:10" x14ac:dyDescent="0.25">
      <c r="A166" s="2">
        <v>17.510000000000002</v>
      </c>
      <c r="B166" s="2">
        <v>3</v>
      </c>
      <c r="C166" s="1" t="s">
        <v>6</v>
      </c>
      <c r="D166" s="1" t="s">
        <v>12</v>
      </c>
      <c r="E166" s="1" t="s">
        <v>8</v>
      </c>
      <c r="F166" s="1" t="s">
        <v>9</v>
      </c>
      <c r="G166">
        <v>2</v>
      </c>
      <c r="H166" s="3">
        <f>tips[[#This Row],[tip]]/tips[[#This Row],[total_bill]]</f>
        <v>0.17133066818960593</v>
      </c>
      <c r="I166" s="2">
        <f>tips[[#This Row],[total_bill]]/tips[[#This Row],[Customers]]</f>
        <v>8.7550000000000008</v>
      </c>
      <c r="J166" s="2">
        <f>tips[[#This Row],[tip]]/tips[[#This Row],[Customers]]</f>
        <v>1.5</v>
      </c>
    </row>
    <row r="167" spans="1:10" x14ac:dyDescent="0.25">
      <c r="A167" s="2">
        <v>24.52</v>
      </c>
      <c r="B167" s="2">
        <v>3.48</v>
      </c>
      <c r="C167" s="1" t="s">
        <v>10</v>
      </c>
      <c r="D167" s="1" t="s">
        <v>7</v>
      </c>
      <c r="E167" s="1" t="s">
        <v>8</v>
      </c>
      <c r="F167" s="1" t="s">
        <v>9</v>
      </c>
      <c r="G167">
        <v>3</v>
      </c>
      <c r="H167" s="3">
        <f>tips[[#This Row],[tip]]/tips[[#This Row],[total_bill]]</f>
        <v>0.14192495921696574</v>
      </c>
      <c r="I167" s="2">
        <f>tips[[#This Row],[total_bill]]/tips[[#This Row],[Customers]]</f>
        <v>8.1733333333333338</v>
      </c>
      <c r="J167" s="2">
        <f>tips[[#This Row],[tip]]/tips[[#This Row],[Customers]]</f>
        <v>1.1599999999999999</v>
      </c>
    </row>
    <row r="168" spans="1:10" x14ac:dyDescent="0.25">
      <c r="A168" s="2">
        <v>20.76</v>
      </c>
      <c r="B168" s="2">
        <v>2.2400000000000002</v>
      </c>
      <c r="C168" s="1" t="s">
        <v>10</v>
      </c>
      <c r="D168" s="1" t="s">
        <v>7</v>
      </c>
      <c r="E168" s="1" t="s">
        <v>8</v>
      </c>
      <c r="F168" s="1" t="s">
        <v>9</v>
      </c>
      <c r="G168">
        <v>2</v>
      </c>
      <c r="H168" s="3">
        <f>tips[[#This Row],[tip]]/tips[[#This Row],[total_bill]]</f>
        <v>0.10789980732177264</v>
      </c>
      <c r="I168" s="2">
        <f>tips[[#This Row],[total_bill]]/tips[[#This Row],[Customers]]</f>
        <v>10.38</v>
      </c>
      <c r="J168" s="2">
        <f>tips[[#This Row],[tip]]/tips[[#This Row],[Customers]]</f>
        <v>1.1200000000000001</v>
      </c>
    </row>
    <row r="169" spans="1:10" x14ac:dyDescent="0.25">
      <c r="A169" s="2">
        <v>31.71</v>
      </c>
      <c r="B169" s="2">
        <v>4.5</v>
      </c>
      <c r="C169" s="1" t="s">
        <v>10</v>
      </c>
      <c r="D169" s="1" t="s">
        <v>7</v>
      </c>
      <c r="E169" s="1" t="s">
        <v>8</v>
      </c>
      <c r="F169" s="1" t="s">
        <v>9</v>
      </c>
      <c r="G169">
        <v>4</v>
      </c>
      <c r="H169" s="3">
        <f>tips[[#This Row],[tip]]/tips[[#This Row],[total_bill]]</f>
        <v>0.14191106906338694</v>
      </c>
      <c r="I169" s="2">
        <f>tips[[#This Row],[total_bill]]/tips[[#This Row],[Customers]]</f>
        <v>7.9275000000000002</v>
      </c>
      <c r="J169" s="2">
        <f>tips[[#This Row],[tip]]/tips[[#This Row],[Customers]]</f>
        <v>1.125</v>
      </c>
    </row>
    <row r="170" spans="1:10" x14ac:dyDescent="0.25">
      <c r="A170" s="2">
        <v>10.59</v>
      </c>
      <c r="B170" s="2">
        <v>1.61</v>
      </c>
      <c r="C170" s="1" t="s">
        <v>6</v>
      </c>
      <c r="D170" s="1" t="s">
        <v>12</v>
      </c>
      <c r="E170" s="1" t="s">
        <v>11</v>
      </c>
      <c r="F170" s="1" t="s">
        <v>9</v>
      </c>
      <c r="G170">
        <v>2</v>
      </c>
      <c r="H170" s="3">
        <f>tips[[#This Row],[tip]]/tips[[#This Row],[total_bill]]</f>
        <v>0.15203021718602455</v>
      </c>
      <c r="I170" s="2">
        <f>tips[[#This Row],[total_bill]]/tips[[#This Row],[Customers]]</f>
        <v>5.2949999999999999</v>
      </c>
      <c r="J170" s="2">
        <f>tips[[#This Row],[tip]]/tips[[#This Row],[Customers]]</f>
        <v>0.80500000000000005</v>
      </c>
    </row>
    <row r="171" spans="1:10" x14ac:dyDescent="0.25">
      <c r="A171" s="2">
        <v>10.63</v>
      </c>
      <c r="B171" s="2">
        <v>2</v>
      </c>
      <c r="C171" s="1" t="s">
        <v>6</v>
      </c>
      <c r="D171" s="1" t="s">
        <v>12</v>
      </c>
      <c r="E171" s="1" t="s">
        <v>11</v>
      </c>
      <c r="F171" s="1" t="s">
        <v>9</v>
      </c>
      <c r="G171">
        <v>2</v>
      </c>
      <c r="H171" s="3">
        <f>tips[[#This Row],[tip]]/tips[[#This Row],[total_bill]]</f>
        <v>0.18814675446848542</v>
      </c>
      <c r="I171" s="2">
        <f>tips[[#This Row],[total_bill]]/tips[[#This Row],[Customers]]</f>
        <v>5.3150000000000004</v>
      </c>
      <c r="J171" s="2">
        <f>tips[[#This Row],[tip]]/tips[[#This Row],[Customers]]</f>
        <v>1</v>
      </c>
    </row>
    <row r="172" spans="1:10" x14ac:dyDescent="0.25">
      <c r="A172" s="2">
        <v>50.81</v>
      </c>
      <c r="B172" s="2">
        <v>10</v>
      </c>
      <c r="C172" s="1" t="s">
        <v>10</v>
      </c>
      <c r="D172" s="1" t="s">
        <v>12</v>
      </c>
      <c r="E172" s="1" t="s">
        <v>11</v>
      </c>
      <c r="F172" s="1" t="s">
        <v>9</v>
      </c>
      <c r="G172">
        <v>3</v>
      </c>
      <c r="H172" s="3">
        <f>tips[[#This Row],[tip]]/tips[[#This Row],[total_bill]]</f>
        <v>0.19681165124975397</v>
      </c>
      <c r="I172" s="2">
        <f>tips[[#This Row],[total_bill]]/tips[[#This Row],[Customers]]</f>
        <v>16.936666666666667</v>
      </c>
      <c r="J172" s="2">
        <f>tips[[#This Row],[tip]]/tips[[#This Row],[Customers]]</f>
        <v>3.3333333333333335</v>
      </c>
    </row>
    <row r="173" spans="1:10" x14ac:dyDescent="0.25">
      <c r="A173" s="2">
        <v>15.81</v>
      </c>
      <c r="B173" s="2">
        <v>3.16</v>
      </c>
      <c r="C173" s="1" t="s">
        <v>10</v>
      </c>
      <c r="D173" s="1" t="s">
        <v>12</v>
      </c>
      <c r="E173" s="1" t="s">
        <v>11</v>
      </c>
      <c r="F173" s="1" t="s">
        <v>9</v>
      </c>
      <c r="G173">
        <v>2</v>
      </c>
      <c r="H173" s="3">
        <f>tips[[#This Row],[tip]]/tips[[#This Row],[total_bill]]</f>
        <v>0.19987349778621127</v>
      </c>
      <c r="I173" s="2">
        <f>tips[[#This Row],[total_bill]]/tips[[#This Row],[Customers]]</f>
        <v>7.9050000000000002</v>
      </c>
      <c r="J173" s="2">
        <f>tips[[#This Row],[tip]]/tips[[#This Row],[Customers]]</f>
        <v>1.58</v>
      </c>
    </row>
    <row r="174" spans="1:10" x14ac:dyDescent="0.25">
      <c r="A174" s="2">
        <v>7.25</v>
      </c>
      <c r="B174" s="2">
        <v>5.15</v>
      </c>
      <c r="C174" s="1" t="s">
        <v>10</v>
      </c>
      <c r="D174" s="1" t="s">
        <v>12</v>
      </c>
      <c r="E174" s="1" t="s">
        <v>8</v>
      </c>
      <c r="F174" s="1" t="s">
        <v>9</v>
      </c>
      <c r="G174">
        <v>2</v>
      </c>
      <c r="H174" s="3">
        <f>tips[[#This Row],[tip]]/tips[[#This Row],[total_bill]]</f>
        <v>0.71034482758620698</v>
      </c>
      <c r="I174" s="2">
        <f>tips[[#This Row],[total_bill]]/tips[[#This Row],[Customers]]</f>
        <v>3.625</v>
      </c>
      <c r="J174" s="2">
        <f>tips[[#This Row],[tip]]/tips[[#This Row],[Customers]]</f>
        <v>2.5750000000000002</v>
      </c>
    </row>
    <row r="175" spans="1:10" x14ac:dyDescent="0.25">
      <c r="A175" s="2">
        <v>31.85</v>
      </c>
      <c r="B175" s="2">
        <v>3.18</v>
      </c>
      <c r="C175" s="1" t="s">
        <v>10</v>
      </c>
      <c r="D175" s="1" t="s">
        <v>12</v>
      </c>
      <c r="E175" s="1" t="s">
        <v>8</v>
      </c>
      <c r="F175" s="1" t="s">
        <v>9</v>
      </c>
      <c r="G175">
        <v>2</v>
      </c>
      <c r="H175" s="3">
        <f>tips[[#This Row],[tip]]/tips[[#This Row],[total_bill]]</f>
        <v>9.9843014128728411E-2</v>
      </c>
      <c r="I175" s="2">
        <f>tips[[#This Row],[total_bill]]/tips[[#This Row],[Customers]]</f>
        <v>15.925000000000001</v>
      </c>
      <c r="J175" s="2">
        <f>tips[[#This Row],[tip]]/tips[[#This Row],[Customers]]</f>
        <v>1.59</v>
      </c>
    </row>
    <row r="176" spans="1:10" x14ac:dyDescent="0.25">
      <c r="A176" s="2">
        <v>16.82</v>
      </c>
      <c r="B176" s="2">
        <v>4</v>
      </c>
      <c r="C176" s="1" t="s">
        <v>10</v>
      </c>
      <c r="D176" s="1" t="s">
        <v>12</v>
      </c>
      <c r="E176" s="1" t="s">
        <v>8</v>
      </c>
      <c r="F176" s="1" t="s">
        <v>9</v>
      </c>
      <c r="G176">
        <v>2</v>
      </c>
      <c r="H176" s="3">
        <f>tips[[#This Row],[tip]]/tips[[#This Row],[total_bill]]</f>
        <v>0.23781212841854935</v>
      </c>
      <c r="I176" s="2">
        <f>tips[[#This Row],[total_bill]]/tips[[#This Row],[Customers]]</f>
        <v>8.41</v>
      </c>
      <c r="J176" s="2">
        <f>tips[[#This Row],[tip]]/tips[[#This Row],[Customers]]</f>
        <v>2</v>
      </c>
    </row>
    <row r="177" spans="1:10" x14ac:dyDescent="0.25">
      <c r="A177" s="2">
        <v>32.9</v>
      </c>
      <c r="B177" s="2">
        <v>3.11</v>
      </c>
      <c r="C177" s="1" t="s">
        <v>10</v>
      </c>
      <c r="D177" s="1" t="s">
        <v>12</v>
      </c>
      <c r="E177" s="1" t="s">
        <v>8</v>
      </c>
      <c r="F177" s="1" t="s">
        <v>9</v>
      </c>
      <c r="G177">
        <v>2</v>
      </c>
      <c r="H177" s="3">
        <f>tips[[#This Row],[tip]]/tips[[#This Row],[total_bill]]</f>
        <v>9.4528875379939203E-2</v>
      </c>
      <c r="I177" s="2">
        <f>tips[[#This Row],[total_bill]]/tips[[#This Row],[Customers]]</f>
        <v>16.45</v>
      </c>
      <c r="J177" s="2">
        <f>tips[[#This Row],[tip]]/tips[[#This Row],[Customers]]</f>
        <v>1.5549999999999999</v>
      </c>
    </row>
    <row r="178" spans="1:10" x14ac:dyDescent="0.25">
      <c r="A178" s="2">
        <v>17.89</v>
      </c>
      <c r="B178" s="2">
        <v>2</v>
      </c>
      <c r="C178" s="1" t="s">
        <v>10</v>
      </c>
      <c r="D178" s="1" t="s">
        <v>12</v>
      </c>
      <c r="E178" s="1" t="s">
        <v>8</v>
      </c>
      <c r="F178" s="1" t="s">
        <v>9</v>
      </c>
      <c r="G178">
        <v>2</v>
      </c>
      <c r="H178" s="3">
        <f>tips[[#This Row],[tip]]/tips[[#This Row],[total_bill]]</f>
        <v>0.11179429849077696</v>
      </c>
      <c r="I178" s="2">
        <f>tips[[#This Row],[total_bill]]/tips[[#This Row],[Customers]]</f>
        <v>8.9450000000000003</v>
      </c>
      <c r="J178" s="2">
        <f>tips[[#This Row],[tip]]/tips[[#This Row],[Customers]]</f>
        <v>1</v>
      </c>
    </row>
    <row r="179" spans="1:10" x14ac:dyDescent="0.25">
      <c r="A179" s="2">
        <v>14.48</v>
      </c>
      <c r="B179" s="2">
        <v>2</v>
      </c>
      <c r="C179" s="1" t="s">
        <v>10</v>
      </c>
      <c r="D179" s="1" t="s">
        <v>12</v>
      </c>
      <c r="E179" s="1" t="s">
        <v>8</v>
      </c>
      <c r="F179" s="1" t="s">
        <v>9</v>
      </c>
      <c r="G179">
        <v>2</v>
      </c>
      <c r="H179" s="3">
        <f>tips[[#This Row],[tip]]/tips[[#This Row],[total_bill]]</f>
        <v>0.13812154696132597</v>
      </c>
      <c r="I179" s="2">
        <f>tips[[#This Row],[total_bill]]/tips[[#This Row],[Customers]]</f>
        <v>7.24</v>
      </c>
      <c r="J179" s="2">
        <f>tips[[#This Row],[tip]]/tips[[#This Row],[Customers]]</f>
        <v>1</v>
      </c>
    </row>
    <row r="180" spans="1:10" x14ac:dyDescent="0.25">
      <c r="A180" s="2">
        <v>9.6</v>
      </c>
      <c r="B180" s="2">
        <v>4</v>
      </c>
      <c r="C180" s="1" t="s">
        <v>6</v>
      </c>
      <c r="D180" s="1" t="s">
        <v>12</v>
      </c>
      <c r="E180" s="1" t="s">
        <v>8</v>
      </c>
      <c r="F180" s="1" t="s">
        <v>9</v>
      </c>
      <c r="G180">
        <v>2</v>
      </c>
      <c r="H180" s="3">
        <f>tips[[#This Row],[tip]]/tips[[#This Row],[total_bill]]</f>
        <v>0.41666666666666669</v>
      </c>
      <c r="I180" s="2">
        <f>tips[[#This Row],[total_bill]]/tips[[#This Row],[Customers]]</f>
        <v>4.8</v>
      </c>
      <c r="J180" s="2">
        <f>tips[[#This Row],[tip]]/tips[[#This Row],[Customers]]</f>
        <v>2</v>
      </c>
    </row>
    <row r="181" spans="1:10" x14ac:dyDescent="0.25">
      <c r="A181" s="2">
        <v>34.630000000000003</v>
      </c>
      <c r="B181" s="2">
        <v>3.55</v>
      </c>
      <c r="C181" s="1" t="s">
        <v>10</v>
      </c>
      <c r="D181" s="1" t="s">
        <v>12</v>
      </c>
      <c r="E181" s="1" t="s">
        <v>8</v>
      </c>
      <c r="F181" s="1" t="s">
        <v>9</v>
      </c>
      <c r="G181">
        <v>2</v>
      </c>
      <c r="H181" s="3">
        <f>tips[[#This Row],[tip]]/tips[[#This Row],[total_bill]]</f>
        <v>0.102512272596015</v>
      </c>
      <c r="I181" s="2">
        <f>tips[[#This Row],[total_bill]]/tips[[#This Row],[Customers]]</f>
        <v>17.315000000000001</v>
      </c>
      <c r="J181" s="2">
        <f>tips[[#This Row],[tip]]/tips[[#This Row],[Customers]]</f>
        <v>1.7749999999999999</v>
      </c>
    </row>
    <row r="182" spans="1:10" x14ac:dyDescent="0.25">
      <c r="A182" s="2">
        <v>34.65</v>
      </c>
      <c r="B182" s="2">
        <v>3.68</v>
      </c>
      <c r="C182" s="1" t="s">
        <v>10</v>
      </c>
      <c r="D182" s="1" t="s">
        <v>12</v>
      </c>
      <c r="E182" s="1" t="s">
        <v>8</v>
      </c>
      <c r="F182" s="1" t="s">
        <v>9</v>
      </c>
      <c r="G182">
        <v>4</v>
      </c>
      <c r="H182" s="3">
        <f>tips[[#This Row],[tip]]/tips[[#This Row],[total_bill]]</f>
        <v>0.10620490620490622</v>
      </c>
      <c r="I182" s="2">
        <f>tips[[#This Row],[total_bill]]/tips[[#This Row],[Customers]]</f>
        <v>8.6624999999999996</v>
      </c>
      <c r="J182" s="2">
        <f>tips[[#This Row],[tip]]/tips[[#This Row],[Customers]]</f>
        <v>0.92</v>
      </c>
    </row>
    <row r="183" spans="1:10" x14ac:dyDescent="0.25">
      <c r="A183" s="2">
        <v>23.33</v>
      </c>
      <c r="B183" s="2">
        <v>5.65</v>
      </c>
      <c r="C183" s="1" t="s">
        <v>10</v>
      </c>
      <c r="D183" s="1" t="s">
        <v>12</v>
      </c>
      <c r="E183" s="1" t="s">
        <v>8</v>
      </c>
      <c r="F183" s="1" t="s">
        <v>9</v>
      </c>
      <c r="G183">
        <v>2</v>
      </c>
      <c r="H183" s="3">
        <f>tips[[#This Row],[tip]]/tips[[#This Row],[total_bill]]</f>
        <v>0.24217745392198889</v>
      </c>
      <c r="I183" s="2">
        <f>tips[[#This Row],[total_bill]]/tips[[#This Row],[Customers]]</f>
        <v>11.664999999999999</v>
      </c>
      <c r="J183" s="2">
        <f>tips[[#This Row],[tip]]/tips[[#This Row],[Customers]]</f>
        <v>2.8250000000000002</v>
      </c>
    </row>
    <row r="184" spans="1:10" x14ac:dyDescent="0.25">
      <c r="A184" s="2">
        <v>45.35</v>
      </c>
      <c r="B184" s="2">
        <v>3.5</v>
      </c>
      <c r="C184" s="1" t="s">
        <v>10</v>
      </c>
      <c r="D184" s="1" t="s">
        <v>12</v>
      </c>
      <c r="E184" s="1" t="s">
        <v>8</v>
      </c>
      <c r="F184" s="1" t="s">
        <v>9</v>
      </c>
      <c r="G184">
        <v>3</v>
      </c>
      <c r="H184" s="3">
        <f>tips[[#This Row],[tip]]/tips[[#This Row],[total_bill]]</f>
        <v>7.7177508269018744E-2</v>
      </c>
      <c r="I184" s="2">
        <f>tips[[#This Row],[total_bill]]/tips[[#This Row],[Customers]]</f>
        <v>15.116666666666667</v>
      </c>
      <c r="J184" s="2">
        <f>tips[[#This Row],[tip]]/tips[[#This Row],[Customers]]</f>
        <v>1.1666666666666667</v>
      </c>
    </row>
    <row r="185" spans="1:10" x14ac:dyDescent="0.25">
      <c r="A185" s="2">
        <v>23.17</v>
      </c>
      <c r="B185" s="2">
        <v>6.5</v>
      </c>
      <c r="C185" s="1" t="s">
        <v>10</v>
      </c>
      <c r="D185" s="1" t="s">
        <v>12</v>
      </c>
      <c r="E185" s="1" t="s">
        <v>8</v>
      </c>
      <c r="F185" s="1" t="s">
        <v>9</v>
      </c>
      <c r="G185">
        <v>4</v>
      </c>
      <c r="H185" s="3">
        <f>tips[[#This Row],[tip]]/tips[[#This Row],[total_bill]]</f>
        <v>0.28053517479499351</v>
      </c>
      <c r="I185" s="2">
        <f>tips[[#This Row],[total_bill]]/tips[[#This Row],[Customers]]</f>
        <v>5.7925000000000004</v>
      </c>
      <c r="J185" s="2">
        <f>tips[[#This Row],[tip]]/tips[[#This Row],[Customers]]</f>
        <v>1.625</v>
      </c>
    </row>
    <row r="186" spans="1:10" x14ac:dyDescent="0.25">
      <c r="A186" s="2">
        <v>40.549999999999997</v>
      </c>
      <c r="B186" s="2">
        <v>3</v>
      </c>
      <c r="C186" s="1" t="s">
        <v>10</v>
      </c>
      <c r="D186" s="1" t="s">
        <v>12</v>
      </c>
      <c r="E186" s="1" t="s">
        <v>8</v>
      </c>
      <c r="F186" s="1" t="s">
        <v>9</v>
      </c>
      <c r="G186">
        <v>2</v>
      </c>
      <c r="H186" s="3">
        <f>tips[[#This Row],[tip]]/tips[[#This Row],[total_bill]]</f>
        <v>7.3982737361282372E-2</v>
      </c>
      <c r="I186" s="2">
        <f>tips[[#This Row],[total_bill]]/tips[[#This Row],[Customers]]</f>
        <v>20.274999999999999</v>
      </c>
      <c r="J186" s="2">
        <f>tips[[#This Row],[tip]]/tips[[#This Row],[Customers]]</f>
        <v>1.5</v>
      </c>
    </row>
    <row r="187" spans="1:10" x14ac:dyDescent="0.25">
      <c r="A187" s="2">
        <v>20.69</v>
      </c>
      <c r="B187" s="2">
        <v>5</v>
      </c>
      <c r="C187" s="1" t="s">
        <v>10</v>
      </c>
      <c r="D187" s="1" t="s">
        <v>7</v>
      </c>
      <c r="E187" s="1" t="s">
        <v>8</v>
      </c>
      <c r="F187" s="1" t="s">
        <v>9</v>
      </c>
      <c r="G187">
        <v>5</v>
      </c>
      <c r="H187" s="3">
        <f>tips[[#This Row],[tip]]/tips[[#This Row],[total_bill]]</f>
        <v>0.24166263895601739</v>
      </c>
      <c r="I187" s="2">
        <f>tips[[#This Row],[total_bill]]/tips[[#This Row],[Customers]]</f>
        <v>4.1379999999999999</v>
      </c>
      <c r="J187" s="2">
        <f>tips[[#This Row],[tip]]/tips[[#This Row],[Customers]]</f>
        <v>1</v>
      </c>
    </row>
    <row r="188" spans="1:10" x14ac:dyDescent="0.25">
      <c r="A188" s="2">
        <v>20.9</v>
      </c>
      <c r="B188" s="2">
        <v>3.5</v>
      </c>
      <c r="C188" s="1" t="s">
        <v>6</v>
      </c>
      <c r="D188" s="1" t="s">
        <v>12</v>
      </c>
      <c r="E188" s="1" t="s">
        <v>8</v>
      </c>
      <c r="F188" s="1" t="s">
        <v>9</v>
      </c>
      <c r="G188">
        <v>3</v>
      </c>
      <c r="H188" s="3">
        <f>tips[[#This Row],[tip]]/tips[[#This Row],[total_bill]]</f>
        <v>0.1674641148325359</v>
      </c>
      <c r="I188" s="2">
        <f>tips[[#This Row],[total_bill]]/tips[[#This Row],[Customers]]</f>
        <v>6.9666666666666659</v>
      </c>
      <c r="J188" s="2">
        <f>tips[[#This Row],[tip]]/tips[[#This Row],[Customers]]</f>
        <v>1.1666666666666667</v>
      </c>
    </row>
    <row r="189" spans="1:10" x14ac:dyDescent="0.25">
      <c r="A189" s="2">
        <v>30.46</v>
      </c>
      <c r="B189" s="2">
        <v>2</v>
      </c>
      <c r="C189" s="1" t="s">
        <v>10</v>
      </c>
      <c r="D189" s="1" t="s">
        <v>12</v>
      </c>
      <c r="E189" s="1" t="s">
        <v>8</v>
      </c>
      <c r="F189" s="1" t="s">
        <v>9</v>
      </c>
      <c r="G189">
        <v>5</v>
      </c>
      <c r="H189" s="3">
        <f>tips[[#This Row],[tip]]/tips[[#This Row],[total_bill]]</f>
        <v>6.5659881812212731E-2</v>
      </c>
      <c r="I189" s="2">
        <f>tips[[#This Row],[total_bill]]/tips[[#This Row],[Customers]]</f>
        <v>6.0920000000000005</v>
      </c>
      <c r="J189" s="2">
        <f>tips[[#This Row],[tip]]/tips[[#This Row],[Customers]]</f>
        <v>0.4</v>
      </c>
    </row>
    <row r="190" spans="1:10" x14ac:dyDescent="0.25">
      <c r="A190" s="2">
        <v>18.149999999999999</v>
      </c>
      <c r="B190" s="2">
        <v>3.5</v>
      </c>
      <c r="C190" s="1" t="s">
        <v>6</v>
      </c>
      <c r="D190" s="1" t="s">
        <v>12</v>
      </c>
      <c r="E190" s="1" t="s">
        <v>8</v>
      </c>
      <c r="F190" s="1" t="s">
        <v>9</v>
      </c>
      <c r="G190">
        <v>3</v>
      </c>
      <c r="H190" s="3">
        <f>tips[[#This Row],[tip]]/tips[[#This Row],[total_bill]]</f>
        <v>0.1928374655647383</v>
      </c>
      <c r="I190" s="2">
        <f>tips[[#This Row],[total_bill]]/tips[[#This Row],[Customers]]</f>
        <v>6.05</v>
      </c>
      <c r="J190" s="2">
        <f>tips[[#This Row],[tip]]/tips[[#This Row],[Customers]]</f>
        <v>1.1666666666666667</v>
      </c>
    </row>
    <row r="191" spans="1:10" x14ac:dyDescent="0.25">
      <c r="A191" s="2">
        <v>23.1</v>
      </c>
      <c r="B191" s="2">
        <v>4</v>
      </c>
      <c r="C191" s="1" t="s">
        <v>10</v>
      </c>
      <c r="D191" s="1" t="s">
        <v>12</v>
      </c>
      <c r="E191" s="1" t="s">
        <v>8</v>
      </c>
      <c r="F191" s="1" t="s">
        <v>9</v>
      </c>
      <c r="G191">
        <v>3</v>
      </c>
      <c r="H191" s="3">
        <f>tips[[#This Row],[tip]]/tips[[#This Row],[total_bill]]</f>
        <v>0.17316017316017315</v>
      </c>
      <c r="I191" s="2">
        <f>tips[[#This Row],[total_bill]]/tips[[#This Row],[Customers]]</f>
        <v>7.7</v>
      </c>
      <c r="J191" s="2">
        <f>tips[[#This Row],[tip]]/tips[[#This Row],[Customers]]</f>
        <v>1.3333333333333333</v>
      </c>
    </row>
    <row r="192" spans="1:10" x14ac:dyDescent="0.25">
      <c r="A192" s="2">
        <v>15.69</v>
      </c>
      <c r="B192" s="2">
        <v>1.5</v>
      </c>
      <c r="C192" s="1" t="s">
        <v>10</v>
      </c>
      <c r="D192" s="1" t="s">
        <v>12</v>
      </c>
      <c r="E192" s="1" t="s">
        <v>8</v>
      </c>
      <c r="F192" s="1" t="s">
        <v>9</v>
      </c>
      <c r="G192">
        <v>2</v>
      </c>
      <c r="H192" s="3">
        <f>tips[[#This Row],[tip]]/tips[[#This Row],[total_bill]]</f>
        <v>9.5602294455066919E-2</v>
      </c>
      <c r="I192" s="2">
        <f>tips[[#This Row],[total_bill]]/tips[[#This Row],[Customers]]</f>
        <v>7.8449999999999998</v>
      </c>
      <c r="J192" s="2">
        <f>tips[[#This Row],[tip]]/tips[[#This Row],[Customers]]</f>
        <v>0.75</v>
      </c>
    </row>
    <row r="193" spans="1:10" x14ac:dyDescent="0.25">
      <c r="A193" s="2">
        <v>19.809999999999999</v>
      </c>
      <c r="B193" s="2">
        <v>4.1900000000000004</v>
      </c>
      <c r="C193" s="1" t="s">
        <v>6</v>
      </c>
      <c r="D193" s="1" t="s">
        <v>12</v>
      </c>
      <c r="E193" s="1" t="s">
        <v>13</v>
      </c>
      <c r="F193" s="1" t="s">
        <v>14</v>
      </c>
      <c r="G193">
        <v>2</v>
      </c>
      <c r="H193" s="3">
        <f>tips[[#This Row],[tip]]/tips[[#This Row],[total_bill]]</f>
        <v>0.21150933871781932</v>
      </c>
      <c r="I193" s="2">
        <f>tips[[#This Row],[total_bill]]/tips[[#This Row],[Customers]]</f>
        <v>9.9049999999999994</v>
      </c>
      <c r="J193" s="2">
        <f>tips[[#This Row],[tip]]/tips[[#This Row],[Customers]]</f>
        <v>2.0950000000000002</v>
      </c>
    </row>
    <row r="194" spans="1:10" x14ac:dyDescent="0.25">
      <c r="A194" s="2">
        <v>28.44</v>
      </c>
      <c r="B194" s="2">
        <v>2.56</v>
      </c>
      <c r="C194" s="1" t="s">
        <v>10</v>
      </c>
      <c r="D194" s="1" t="s">
        <v>12</v>
      </c>
      <c r="E194" s="1" t="s">
        <v>13</v>
      </c>
      <c r="F194" s="1" t="s">
        <v>14</v>
      </c>
      <c r="G194">
        <v>2</v>
      </c>
      <c r="H194" s="3">
        <f>tips[[#This Row],[tip]]/tips[[#This Row],[total_bill]]</f>
        <v>9.0014064697609003E-2</v>
      </c>
      <c r="I194" s="2">
        <f>tips[[#This Row],[total_bill]]/tips[[#This Row],[Customers]]</f>
        <v>14.22</v>
      </c>
      <c r="J194" s="2">
        <f>tips[[#This Row],[tip]]/tips[[#This Row],[Customers]]</f>
        <v>1.28</v>
      </c>
    </row>
    <row r="195" spans="1:10" x14ac:dyDescent="0.25">
      <c r="A195" s="2">
        <v>15.48</v>
      </c>
      <c r="B195" s="2">
        <v>2.02</v>
      </c>
      <c r="C195" s="1" t="s">
        <v>10</v>
      </c>
      <c r="D195" s="1" t="s">
        <v>12</v>
      </c>
      <c r="E195" s="1" t="s">
        <v>13</v>
      </c>
      <c r="F195" s="1" t="s">
        <v>14</v>
      </c>
      <c r="G195">
        <v>2</v>
      </c>
      <c r="H195" s="3">
        <f>tips[[#This Row],[tip]]/tips[[#This Row],[total_bill]]</f>
        <v>0.13049095607235142</v>
      </c>
      <c r="I195" s="2">
        <f>tips[[#This Row],[total_bill]]/tips[[#This Row],[Customers]]</f>
        <v>7.74</v>
      </c>
      <c r="J195" s="2">
        <f>tips[[#This Row],[tip]]/tips[[#This Row],[Customers]]</f>
        <v>1.01</v>
      </c>
    </row>
    <row r="196" spans="1:10" x14ac:dyDescent="0.25">
      <c r="A196" s="2">
        <v>16.579999999999998</v>
      </c>
      <c r="B196" s="2">
        <v>4</v>
      </c>
      <c r="C196" s="1" t="s">
        <v>10</v>
      </c>
      <c r="D196" s="1" t="s">
        <v>12</v>
      </c>
      <c r="E196" s="1" t="s">
        <v>13</v>
      </c>
      <c r="F196" s="1" t="s">
        <v>14</v>
      </c>
      <c r="G196">
        <v>2</v>
      </c>
      <c r="H196" s="3">
        <f>tips[[#This Row],[tip]]/tips[[#This Row],[total_bill]]</f>
        <v>0.24125452352231608</v>
      </c>
      <c r="I196" s="2">
        <f>tips[[#This Row],[total_bill]]/tips[[#This Row],[Customers]]</f>
        <v>8.2899999999999991</v>
      </c>
      <c r="J196" s="2">
        <f>tips[[#This Row],[tip]]/tips[[#This Row],[Customers]]</f>
        <v>2</v>
      </c>
    </row>
    <row r="197" spans="1:10" x14ac:dyDescent="0.25">
      <c r="A197" s="2">
        <v>7.56</v>
      </c>
      <c r="B197" s="2">
        <v>1.44</v>
      </c>
      <c r="C197" s="1" t="s">
        <v>10</v>
      </c>
      <c r="D197" s="1" t="s">
        <v>7</v>
      </c>
      <c r="E197" s="1" t="s">
        <v>13</v>
      </c>
      <c r="F197" s="1" t="s">
        <v>14</v>
      </c>
      <c r="G197">
        <v>2</v>
      </c>
      <c r="H197" s="3">
        <f>tips[[#This Row],[tip]]/tips[[#This Row],[total_bill]]</f>
        <v>0.19047619047619047</v>
      </c>
      <c r="I197" s="2">
        <f>tips[[#This Row],[total_bill]]/tips[[#This Row],[Customers]]</f>
        <v>3.78</v>
      </c>
      <c r="J197" s="2">
        <f>tips[[#This Row],[tip]]/tips[[#This Row],[Customers]]</f>
        <v>0.72</v>
      </c>
    </row>
    <row r="198" spans="1:10" x14ac:dyDescent="0.25">
      <c r="A198" s="2">
        <v>10.34</v>
      </c>
      <c r="B198" s="2">
        <v>2</v>
      </c>
      <c r="C198" s="1" t="s">
        <v>10</v>
      </c>
      <c r="D198" s="1" t="s">
        <v>12</v>
      </c>
      <c r="E198" s="1" t="s">
        <v>13</v>
      </c>
      <c r="F198" s="1" t="s">
        <v>14</v>
      </c>
      <c r="G198">
        <v>2</v>
      </c>
      <c r="H198" s="3">
        <f>tips[[#This Row],[tip]]/tips[[#This Row],[total_bill]]</f>
        <v>0.19342359767891684</v>
      </c>
      <c r="I198" s="2">
        <f>tips[[#This Row],[total_bill]]/tips[[#This Row],[Customers]]</f>
        <v>5.17</v>
      </c>
      <c r="J198" s="2">
        <f>tips[[#This Row],[tip]]/tips[[#This Row],[Customers]]</f>
        <v>1</v>
      </c>
    </row>
    <row r="199" spans="1:10" x14ac:dyDescent="0.25">
      <c r="A199" s="2">
        <v>43.11</v>
      </c>
      <c r="B199" s="2">
        <v>5</v>
      </c>
      <c r="C199" s="1" t="s">
        <v>6</v>
      </c>
      <c r="D199" s="1" t="s">
        <v>12</v>
      </c>
      <c r="E199" s="1" t="s">
        <v>13</v>
      </c>
      <c r="F199" s="1" t="s">
        <v>14</v>
      </c>
      <c r="G199">
        <v>4</v>
      </c>
      <c r="H199" s="3">
        <f>tips[[#This Row],[tip]]/tips[[#This Row],[total_bill]]</f>
        <v>0.11598237067965669</v>
      </c>
      <c r="I199" s="2">
        <f>tips[[#This Row],[total_bill]]/tips[[#This Row],[Customers]]</f>
        <v>10.7775</v>
      </c>
      <c r="J199" s="2">
        <f>tips[[#This Row],[tip]]/tips[[#This Row],[Customers]]</f>
        <v>1.25</v>
      </c>
    </row>
    <row r="200" spans="1:10" x14ac:dyDescent="0.25">
      <c r="A200" s="2">
        <v>13</v>
      </c>
      <c r="B200" s="2">
        <v>2</v>
      </c>
      <c r="C200" s="1" t="s">
        <v>6</v>
      </c>
      <c r="D200" s="1" t="s">
        <v>12</v>
      </c>
      <c r="E200" s="1" t="s">
        <v>13</v>
      </c>
      <c r="F200" s="1" t="s">
        <v>14</v>
      </c>
      <c r="G200">
        <v>2</v>
      </c>
      <c r="H200" s="3">
        <f>tips[[#This Row],[tip]]/tips[[#This Row],[total_bill]]</f>
        <v>0.15384615384615385</v>
      </c>
      <c r="I200" s="2">
        <f>tips[[#This Row],[total_bill]]/tips[[#This Row],[Customers]]</f>
        <v>6.5</v>
      </c>
      <c r="J200" s="2">
        <f>tips[[#This Row],[tip]]/tips[[#This Row],[Customers]]</f>
        <v>1</v>
      </c>
    </row>
    <row r="201" spans="1:10" x14ac:dyDescent="0.25">
      <c r="A201" s="2">
        <v>13.51</v>
      </c>
      <c r="B201" s="2">
        <v>2</v>
      </c>
      <c r="C201" s="1" t="s">
        <v>10</v>
      </c>
      <c r="D201" s="1" t="s">
        <v>12</v>
      </c>
      <c r="E201" s="1" t="s">
        <v>13</v>
      </c>
      <c r="F201" s="1" t="s">
        <v>14</v>
      </c>
      <c r="G201">
        <v>2</v>
      </c>
      <c r="H201" s="3">
        <f>tips[[#This Row],[tip]]/tips[[#This Row],[total_bill]]</f>
        <v>0.14803849000740193</v>
      </c>
      <c r="I201" s="2">
        <f>tips[[#This Row],[total_bill]]/tips[[#This Row],[Customers]]</f>
        <v>6.7549999999999999</v>
      </c>
      <c r="J201" s="2">
        <f>tips[[#This Row],[tip]]/tips[[#This Row],[Customers]]</f>
        <v>1</v>
      </c>
    </row>
    <row r="202" spans="1:10" x14ac:dyDescent="0.25">
      <c r="A202" s="2">
        <v>18.71</v>
      </c>
      <c r="B202" s="2">
        <v>4</v>
      </c>
      <c r="C202" s="1" t="s">
        <v>10</v>
      </c>
      <c r="D202" s="1" t="s">
        <v>12</v>
      </c>
      <c r="E202" s="1" t="s">
        <v>13</v>
      </c>
      <c r="F202" s="1" t="s">
        <v>14</v>
      </c>
      <c r="G202">
        <v>3</v>
      </c>
      <c r="H202" s="3">
        <f>tips[[#This Row],[tip]]/tips[[#This Row],[total_bill]]</f>
        <v>0.2137894174238375</v>
      </c>
      <c r="I202" s="2">
        <f>tips[[#This Row],[total_bill]]/tips[[#This Row],[Customers]]</f>
        <v>6.2366666666666672</v>
      </c>
      <c r="J202" s="2">
        <f>tips[[#This Row],[tip]]/tips[[#This Row],[Customers]]</f>
        <v>1.3333333333333333</v>
      </c>
    </row>
    <row r="203" spans="1:10" x14ac:dyDescent="0.25">
      <c r="A203" s="2">
        <v>12.74</v>
      </c>
      <c r="B203" s="2">
        <v>2.0099999999999998</v>
      </c>
      <c r="C203" s="1" t="s">
        <v>6</v>
      </c>
      <c r="D203" s="1" t="s">
        <v>12</v>
      </c>
      <c r="E203" s="1" t="s">
        <v>13</v>
      </c>
      <c r="F203" s="1" t="s">
        <v>14</v>
      </c>
      <c r="G203">
        <v>2</v>
      </c>
      <c r="H203" s="3">
        <f>tips[[#This Row],[tip]]/tips[[#This Row],[total_bill]]</f>
        <v>0.15777080062794346</v>
      </c>
      <c r="I203" s="2">
        <f>tips[[#This Row],[total_bill]]/tips[[#This Row],[Customers]]</f>
        <v>6.37</v>
      </c>
      <c r="J203" s="2">
        <f>tips[[#This Row],[tip]]/tips[[#This Row],[Customers]]</f>
        <v>1.0049999999999999</v>
      </c>
    </row>
    <row r="204" spans="1:10" x14ac:dyDescent="0.25">
      <c r="A204" s="2">
        <v>13</v>
      </c>
      <c r="B204" s="2">
        <v>2</v>
      </c>
      <c r="C204" s="1" t="s">
        <v>6</v>
      </c>
      <c r="D204" s="1" t="s">
        <v>12</v>
      </c>
      <c r="E204" s="1" t="s">
        <v>13</v>
      </c>
      <c r="F204" s="1" t="s">
        <v>14</v>
      </c>
      <c r="G204">
        <v>2</v>
      </c>
      <c r="H204" s="3">
        <f>tips[[#This Row],[tip]]/tips[[#This Row],[total_bill]]</f>
        <v>0.15384615384615385</v>
      </c>
      <c r="I204" s="2">
        <f>tips[[#This Row],[total_bill]]/tips[[#This Row],[Customers]]</f>
        <v>6.5</v>
      </c>
      <c r="J204" s="2">
        <f>tips[[#This Row],[tip]]/tips[[#This Row],[Customers]]</f>
        <v>1</v>
      </c>
    </row>
    <row r="205" spans="1:10" x14ac:dyDescent="0.25">
      <c r="A205" s="2">
        <v>16.399999999999999</v>
      </c>
      <c r="B205" s="2">
        <v>2.5</v>
      </c>
      <c r="C205" s="1" t="s">
        <v>6</v>
      </c>
      <c r="D205" s="1" t="s">
        <v>12</v>
      </c>
      <c r="E205" s="1" t="s">
        <v>13</v>
      </c>
      <c r="F205" s="1" t="s">
        <v>14</v>
      </c>
      <c r="G205">
        <v>2</v>
      </c>
      <c r="H205" s="3">
        <f>tips[[#This Row],[tip]]/tips[[#This Row],[total_bill]]</f>
        <v>0.15243902439024393</v>
      </c>
      <c r="I205" s="2">
        <f>tips[[#This Row],[total_bill]]/tips[[#This Row],[Customers]]</f>
        <v>8.1999999999999993</v>
      </c>
      <c r="J205" s="2">
        <f>tips[[#This Row],[tip]]/tips[[#This Row],[Customers]]</f>
        <v>1.25</v>
      </c>
    </row>
    <row r="206" spans="1:10" x14ac:dyDescent="0.25">
      <c r="A206" s="2">
        <v>20.53</v>
      </c>
      <c r="B206" s="2">
        <v>4</v>
      </c>
      <c r="C206" s="1" t="s">
        <v>10</v>
      </c>
      <c r="D206" s="1" t="s">
        <v>12</v>
      </c>
      <c r="E206" s="1" t="s">
        <v>13</v>
      </c>
      <c r="F206" s="1" t="s">
        <v>14</v>
      </c>
      <c r="G206">
        <v>4</v>
      </c>
      <c r="H206" s="3">
        <f>tips[[#This Row],[tip]]/tips[[#This Row],[total_bill]]</f>
        <v>0.19483682415976619</v>
      </c>
      <c r="I206" s="2">
        <f>tips[[#This Row],[total_bill]]/tips[[#This Row],[Customers]]</f>
        <v>5.1325000000000003</v>
      </c>
      <c r="J206" s="2">
        <f>tips[[#This Row],[tip]]/tips[[#This Row],[Customers]]</f>
        <v>1</v>
      </c>
    </row>
    <row r="207" spans="1:10" x14ac:dyDescent="0.25">
      <c r="A207" s="2">
        <v>16.47</v>
      </c>
      <c r="B207" s="2">
        <v>3.23</v>
      </c>
      <c r="C207" s="1" t="s">
        <v>6</v>
      </c>
      <c r="D207" s="1" t="s">
        <v>12</v>
      </c>
      <c r="E207" s="1" t="s">
        <v>13</v>
      </c>
      <c r="F207" s="1" t="s">
        <v>14</v>
      </c>
      <c r="G207">
        <v>3</v>
      </c>
      <c r="H207" s="3">
        <f>tips[[#This Row],[tip]]/tips[[#This Row],[total_bill]]</f>
        <v>0.19611414693381907</v>
      </c>
      <c r="I207" s="2">
        <f>tips[[#This Row],[total_bill]]/tips[[#This Row],[Customers]]</f>
        <v>5.4899999999999993</v>
      </c>
      <c r="J207" s="2">
        <f>tips[[#This Row],[tip]]/tips[[#This Row],[Customers]]</f>
        <v>1.0766666666666667</v>
      </c>
    </row>
    <row r="208" spans="1:10" x14ac:dyDescent="0.25">
      <c r="A208" s="2">
        <v>26.59</v>
      </c>
      <c r="B208" s="2">
        <v>3.41</v>
      </c>
      <c r="C208" s="1" t="s">
        <v>10</v>
      </c>
      <c r="D208" s="1" t="s">
        <v>12</v>
      </c>
      <c r="E208" s="1" t="s">
        <v>11</v>
      </c>
      <c r="F208" s="1" t="s">
        <v>9</v>
      </c>
      <c r="G208">
        <v>3</v>
      </c>
      <c r="H208" s="3">
        <f>tips[[#This Row],[tip]]/tips[[#This Row],[total_bill]]</f>
        <v>0.1282437006393381</v>
      </c>
      <c r="I208" s="2">
        <f>tips[[#This Row],[total_bill]]/tips[[#This Row],[Customers]]</f>
        <v>8.8633333333333333</v>
      </c>
      <c r="J208" s="2">
        <f>tips[[#This Row],[tip]]/tips[[#This Row],[Customers]]</f>
        <v>1.1366666666666667</v>
      </c>
    </row>
    <row r="209" spans="1:10" x14ac:dyDescent="0.25">
      <c r="A209" s="2">
        <v>38.729999999999997</v>
      </c>
      <c r="B209" s="2">
        <v>3</v>
      </c>
      <c r="C209" s="1" t="s">
        <v>10</v>
      </c>
      <c r="D209" s="1" t="s">
        <v>12</v>
      </c>
      <c r="E209" s="1" t="s">
        <v>11</v>
      </c>
      <c r="F209" s="1" t="s">
        <v>9</v>
      </c>
      <c r="G209">
        <v>4</v>
      </c>
      <c r="H209" s="3">
        <f>tips[[#This Row],[tip]]/tips[[#This Row],[total_bill]]</f>
        <v>7.7459333849728904E-2</v>
      </c>
      <c r="I209" s="2">
        <f>tips[[#This Row],[total_bill]]/tips[[#This Row],[Customers]]</f>
        <v>9.6824999999999992</v>
      </c>
      <c r="J209" s="2">
        <f>tips[[#This Row],[tip]]/tips[[#This Row],[Customers]]</f>
        <v>0.75</v>
      </c>
    </row>
    <row r="210" spans="1:10" x14ac:dyDescent="0.25">
      <c r="A210" s="2">
        <v>24.27</v>
      </c>
      <c r="B210" s="2">
        <v>2.0299999999999998</v>
      </c>
      <c r="C210" s="1" t="s">
        <v>10</v>
      </c>
      <c r="D210" s="1" t="s">
        <v>12</v>
      </c>
      <c r="E210" s="1" t="s">
        <v>11</v>
      </c>
      <c r="F210" s="1" t="s">
        <v>9</v>
      </c>
      <c r="G210">
        <v>2</v>
      </c>
      <c r="H210" s="3">
        <f>tips[[#This Row],[tip]]/tips[[#This Row],[total_bill]]</f>
        <v>8.3642356819118246E-2</v>
      </c>
      <c r="I210" s="2">
        <f>tips[[#This Row],[total_bill]]/tips[[#This Row],[Customers]]</f>
        <v>12.135</v>
      </c>
      <c r="J210" s="2">
        <f>tips[[#This Row],[tip]]/tips[[#This Row],[Customers]]</f>
        <v>1.0149999999999999</v>
      </c>
    </row>
    <row r="211" spans="1:10" x14ac:dyDescent="0.25">
      <c r="A211" s="2">
        <v>12.76</v>
      </c>
      <c r="B211" s="2">
        <v>2.23</v>
      </c>
      <c r="C211" s="1" t="s">
        <v>6</v>
      </c>
      <c r="D211" s="1" t="s">
        <v>12</v>
      </c>
      <c r="E211" s="1" t="s">
        <v>11</v>
      </c>
      <c r="F211" s="1" t="s">
        <v>9</v>
      </c>
      <c r="G211">
        <v>2</v>
      </c>
      <c r="H211" s="3">
        <f>tips[[#This Row],[tip]]/tips[[#This Row],[total_bill]]</f>
        <v>0.17476489028213166</v>
      </c>
      <c r="I211" s="2">
        <f>tips[[#This Row],[total_bill]]/tips[[#This Row],[Customers]]</f>
        <v>6.38</v>
      </c>
      <c r="J211" s="2">
        <f>tips[[#This Row],[tip]]/tips[[#This Row],[Customers]]</f>
        <v>1.115</v>
      </c>
    </row>
    <row r="212" spans="1:10" x14ac:dyDescent="0.25">
      <c r="A212" s="2">
        <v>30.06</v>
      </c>
      <c r="B212" s="2">
        <v>2</v>
      </c>
      <c r="C212" s="1" t="s">
        <v>10</v>
      </c>
      <c r="D212" s="1" t="s">
        <v>12</v>
      </c>
      <c r="E212" s="1" t="s">
        <v>11</v>
      </c>
      <c r="F212" s="1" t="s">
        <v>9</v>
      </c>
      <c r="G212">
        <v>3</v>
      </c>
      <c r="H212" s="3">
        <f>tips[[#This Row],[tip]]/tips[[#This Row],[total_bill]]</f>
        <v>6.6533599467731214E-2</v>
      </c>
      <c r="I212" s="2">
        <f>tips[[#This Row],[total_bill]]/tips[[#This Row],[Customers]]</f>
        <v>10.02</v>
      </c>
      <c r="J212" s="2">
        <f>tips[[#This Row],[tip]]/tips[[#This Row],[Customers]]</f>
        <v>0.66666666666666663</v>
      </c>
    </row>
    <row r="213" spans="1:10" x14ac:dyDescent="0.25">
      <c r="A213" s="2">
        <v>25.89</v>
      </c>
      <c r="B213" s="2">
        <v>5.16</v>
      </c>
      <c r="C213" s="1" t="s">
        <v>10</v>
      </c>
      <c r="D213" s="1" t="s">
        <v>12</v>
      </c>
      <c r="E213" s="1" t="s">
        <v>11</v>
      </c>
      <c r="F213" s="1" t="s">
        <v>9</v>
      </c>
      <c r="G213">
        <v>4</v>
      </c>
      <c r="H213" s="3">
        <f>tips[[#This Row],[tip]]/tips[[#This Row],[total_bill]]</f>
        <v>0.19930475086906141</v>
      </c>
      <c r="I213" s="2">
        <f>tips[[#This Row],[total_bill]]/tips[[#This Row],[Customers]]</f>
        <v>6.4725000000000001</v>
      </c>
      <c r="J213" s="2">
        <f>tips[[#This Row],[tip]]/tips[[#This Row],[Customers]]</f>
        <v>1.29</v>
      </c>
    </row>
    <row r="214" spans="1:10" x14ac:dyDescent="0.25">
      <c r="A214" s="2">
        <v>48.33</v>
      </c>
      <c r="B214" s="2">
        <v>9</v>
      </c>
      <c r="C214" s="1" t="s">
        <v>10</v>
      </c>
      <c r="D214" s="1" t="s">
        <v>7</v>
      </c>
      <c r="E214" s="1" t="s">
        <v>11</v>
      </c>
      <c r="F214" s="1" t="s">
        <v>9</v>
      </c>
      <c r="G214">
        <v>4</v>
      </c>
      <c r="H214" s="3">
        <f>tips[[#This Row],[tip]]/tips[[#This Row],[total_bill]]</f>
        <v>0.18621973929236499</v>
      </c>
      <c r="I214" s="2">
        <f>tips[[#This Row],[total_bill]]/tips[[#This Row],[Customers]]</f>
        <v>12.0825</v>
      </c>
      <c r="J214" s="2">
        <f>tips[[#This Row],[tip]]/tips[[#This Row],[Customers]]</f>
        <v>2.25</v>
      </c>
    </row>
    <row r="215" spans="1:10" x14ac:dyDescent="0.25">
      <c r="A215" s="2">
        <v>13.27</v>
      </c>
      <c r="B215" s="2">
        <v>2.5</v>
      </c>
      <c r="C215" s="1" t="s">
        <v>6</v>
      </c>
      <c r="D215" s="1" t="s">
        <v>12</v>
      </c>
      <c r="E215" s="1" t="s">
        <v>11</v>
      </c>
      <c r="F215" s="1" t="s">
        <v>9</v>
      </c>
      <c r="G215">
        <v>2</v>
      </c>
      <c r="H215" s="3">
        <f>tips[[#This Row],[tip]]/tips[[#This Row],[total_bill]]</f>
        <v>0.18839487565938207</v>
      </c>
      <c r="I215" s="2">
        <f>tips[[#This Row],[total_bill]]/tips[[#This Row],[Customers]]</f>
        <v>6.6349999999999998</v>
      </c>
      <c r="J215" s="2">
        <f>tips[[#This Row],[tip]]/tips[[#This Row],[Customers]]</f>
        <v>1.25</v>
      </c>
    </row>
    <row r="216" spans="1:10" x14ac:dyDescent="0.25">
      <c r="A216" s="2">
        <v>28.17</v>
      </c>
      <c r="B216" s="2">
        <v>6.5</v>
      </c>
      <c r="C216" s="1" t="s">
        <v>6</v>
      </c>
      <c r="D216" s="1" t="s">
        <v>12</v>
      </c>
      <c r="E216" s="1" t="s">
        <v>11</v>
      </c>
      <c r="F216" s="1" t="s">
        <v>9</v>
      </c>
      <c r="G216">
        <v>3</v>
      </c>
      <c r="H216" s="3">
        <f>tips[[#This Row],[tip]]/tips[[#This Row],[total_bill]]</f>
        <v>0.23074192403265883</v>
      </c>
      <c r="I216" s="2">
        <f>tips[[#This Row],[total_bill]]/tips[[#This Row],[Customers]]</f>
        <v>9.39</v>
      </c>
      <c r="J216" s="2">
        <f>tips[[#This Row],[tip]]/tips[[#This Row],[Customers]]</f>
        <v>2.1666666666666665</v>
      </c>
    </row>
    <row r="217" spans="1:10" x14ac:dyDescent="0.25">
      <c r="A217" s="2">
        <v>12.9</v>
      </c>
      <c r="B217" s="2">
        <v>1.1000000000000001</v>
      </c>
      <c r="C217" s="1" t="s">
        <v>6</v>
      </c>
      <c r="D217" s="1" t="s">
        <v>12</v>
      </c>
      <c r="E217" s="1" t="s">
        <v>11</v>
      </c>
      <c r="F217" s="1" t="s">
        <v>9</v>
      </c>
      <c r="G217">
        <v>2</v>
      </c>
      <c r="H217" s="3">
        <f>tips[[#This Row],[tip]]/tips[[#This Row],[total_bill]]</f>
        <v>8.5271317829457363E-2</v>
      </c>
      <c r="I217" s="2">
        <f>tips[[#This Row],[total_bill]]/tips[[#This Row],[Customers]]</f>
        <v>6.45</v>
      </c>
      <c r="J217" s="2">
        <f>tips[[#This Row],[tip]]/tips[[#This Row],[Customers]]</f>
        <v>0.55000000000000004</v>
      </c>
    </row>
    <row r="218" spans="1:10" x14ac:dyDescent="0.25">
      <c r="A218" s="2">
        <v>28.15</v>
      </c>
      <c r="B218" s="2">
        <v>3</v>
      </c>
      <c r="C218" s="1" t="s">
        <v>10</v>
      </c>
      <c r="D218" s="1" t="s">
        <v>12</v>
      </c>
      <c r="E218" s="1" t="s">
        <v>11</v>
      </c>
      <c r="F218" s="1" t="s">
        <v>9</v>
      </c>
      <c r="G218">
        <v>5</v>
      </c>
      <c r="H218" s="3">
        <f>tips[[#This Row],[tip]]/tips[[#This Row],[total_bill]]</f>
        <v>0.10657193605683837</v>
      </c>
      <c r="I218" s="2">
        <f>tips[[#This Row],[total_bill]]/tips[[#This Row],[Customers]]</f>
        <v>5.63</v>
      </c>
      <c r="J218" s="2">
        <f>tips[[#This Row],[tip]]/tips[[#This Row],[Customers]]</f>
        <v>0.6</v>
      </c>
    </row>
    <row r="219" spans="1:10" x14ac:dyDescent="0.25">
      <c r="A219" s="2">
        <v>11.59</v>
      </c>
      <c r="B219" s="2">
        <v>1.5</v>
      </c>
      <c r="C219" s="1" t="s">
        <v>10</v>
      </c>
      <c r="D219" s="1" t="s">
        <v>12</v>
      </c>
      <c r="E219" s="1" t="s">
        <v>11</v>
      </c>
      <c r="F219" s="1" t="s">
        <v>9</v>
      </c>
      <c r="G219">
        <v>2</v>
      </c>
      <c r="H219" s="3">
        <f>tips[[#This Row],[tip]]/tips[[#This Row],[total_bill]]</f>
        <v>0.12942191544434858</v>
      </c>
      <c r="I219" s="2">
        <f>tips[[#This Row],[total_bill]]/tips[[#This Row],[Customers]]</f>
        <v>5.7949999999999999</v>
      </c>
      <c r="J219" s="2">
        <f>tips[[#This Row],[tip]]/tips[[#This Row],[Customers]]</f>
        <v>0.75</v>
      </c>
    </row>
    <row r="220" spans="1:10" x14ac:dyDescent="0.25">
      <c r="A220" s="2">
        <v>7.74</v>
      </c>
      <c r="B220" s="2">
        <v>1.44</v>
      </c>
      <c r="C220" s="1" t="s">
        <v>10</v>
      </c>
      <c r="D220" s="1" t="s">
        <v>12</v>
      </c>
      <c r="E220" s="1" t="s">
        <v>11</v>
      </c>
      <c r="F220" s="1" t="s">
        <v>9</v>
      </c>
      <c r="G220">
        <v>2</v>
      </c>
      <c r="H220" s="3">
        <f>tips[[#This Row],[tip]]/tips[[#This Row],[total_bill]]</f>
        <v>0.18604651162790697</v>
      </c>
      <c r="I220" s="2">
        <f>tips[[#This Row],[total_bill]]/tips[[#This Row],[Customers]]</f>
        <v>3.87</v>
      </c>
      <c r="J220" s="2">
        <f>tips[[#This Row],[tip]]/tips[[#This Row],[Customers]]</f>
        <v>0.72</v>
      </c>
    </row>
    <row r="221" spans="1:10" x14ac:dyDescent="0.25">
      <c r="A221" s="2">
        <v>30.14</v>
      </c>
      <c r="B221" s="2">
        <v>3.09</v>
      </c>
      <c r="C221" s="1" t="s">
        <v>6</v>
      </c>
      <c r="D221" s="1" t="s">
        <v>12</v>
      </c>
      <c r="E221" s="1" t="s">
        <v>11</v>
      </c>
      <c r="F221" s="1" t="s">
        <v>9</v>
      </c>
      <c r="G221">
        <v>4</v>
      </c>
      <c r="H221" s="3">
        <f>tips[[#This Row],[tip]]/tips[[#This Row],[total_bill]]</f>
        <v>0.10252156602521566</v>
      </c>
      <c r="I221" s="2">
        <f>tips[[#This Row],[total_bill]]/tips[[#This Row],[Customers]]</f>
        <v>7.5350000000000001</v>
      </c>
      <c r="J221" s="2">
        <f>tips[[#This Row],[tip]]/tips[[#This Row],[Customers]]</f>
        <v>0.77249999999999996</v>
      </c>
    </row>
    <row r="222" spans="1:10" x14ac:dyDescent="0.25">
      <c r="A222" s="2">
        <v>12.16</v>
      </c>
      <c r="B222" s="2">
        <v>2.2000000000000002</v>
      </c>
      <c r="C222" s="1" t="s">
        <v>10</v>
      </c>
      <c r="D222" s="1" t="s">
        <v>12</v>
      </c>
      <c r="E222" s="1" t="s">
        <v>15</v>
      </c>
      <c r="F222" s="1" t="s">
        <v>14</v>
      </c>
      <c r="G222">
        <v>2</v>
      </c>
      <c r="H222" s="3">
        <f>tips[[#This Row],[tip]]/tips[[#This Row],[total_bill]]</f>
        <v>0.18092105263157895</v>
      </c>
      <c r="I222" s="2">
        <f>tips[[#This Row],[total_bill]]/tips[[#This Row],[Customers]]</f>
        <v>6.08</v>
      </c>
      <c r="J222" s="2">
        <f>tips[[#This Row],[tip]]/tips[[#This Row],[Customers]]</f>
        <v>1.1000000000000001</v>
      </c>
    </row>
    <row r="223" spans="1:10" x14ac:dyDescent="0.25">
      <c r="A223" s="2">
        <v>13.42</v>
      </c>
      <c r="B223" s="2">
        <v>3.48</v>
      </c>
      <c r="C223" s="1" t="s">
        <v>6</v>
      </c>
      <c r="D223" s="1" t="s">
        <v>12</v>
      </c>
      <c r="E223" s="1" t="s">
        <v>15</v>
      </c>
      <c r="F223" s="1" t="s">
        <v>14</v>
      </c>
      <c r="G223">
        <v>2</v>
      </c>
      <c r="H223" s="3">
        <f>tips[[#This Row],[tip]]/tips[[#This Row],[total_bill]]</f>
        <v>0.25931445603576753</v>
      </c>
      <c r="I223" s="2">
        <f>tips[[#This Row],[total_bill]]/tips[[#This Row],[Customers]]</f>
        <v>6.71</v>
      </c>
      <c r="J223" s="2">
        <f>tips[[#This Row],[tip]]/tips[[#This Row],[Customers]]</f>
        <v>1.74</v>
      </c>
    </row>
    <row r="224" spans="1:10" x14ac:dyDescent="0.25">
      <c r="A224" s="2">
        <v>8.58</v>
      </c>
      <c r="B224" s="2">
        <v>1.92</v>
      </c>
      <c r="C224" s="1" t="s">
        <v>10</v>
      </c>
      <c r="D224" s="1" t="s">
        <v>12</v>
      </c>
      <c r="E224" s="1" t="s">
        <v>15</v>
      </c>
      <c r="F224" s="1" t="s">
        <v>14</v>
      </c>
      <c r="G224">
        <v>1</v>
      </c>
      <c r="H224" s="3">
        <f>tips[[#This Row],[tip]]/tips[[#This Row],[total_bill]]</f>
        <v>0.22377622377622378</v>
      </c>
      <c r="I224" s="2">
        <f>tips[[#This Row],[total_bill]]/tips[[#This Row],[Customers]]</f>
        <v>8.58</v>
      </c>
      <c r="J224" s="2">
        <f>tips[[#This Row],[tip]]/tips[[#This Row],[Customers]]</f>
        <v>1.92</v>
      </c>
    </row>
    <row r="225" spans="1:10" x14ac:dyDescent="0.25">
      <c r="A225" s="2">
        <v>15.98</v>
      </c>
      <c r="B225" s="2">
        <v>3</v>
      </c>
      <c r="C225" s="1" t="s">
        <v>6</v>
      </c>
      <c r="D225" s="1" t="s">
        <v>7</v>
      </c>
      <c r="E225" s="1" t="s">
        <v>15</v>
      </c>
      <c r="F225" s="1" t="s">
        <v>14</v>
      </c>
      <c r="G225">
        <v>3</v>
      </c>
      <c r="H225" s="3">
        <f>tips[[#This Row],[tip]]/tips[[#This Row],[total_bill]]</f>
        <v>0.18773466833541927</v>
      </c>
      <c r="I225" s="2">
        <f>tips[[#This Row],[total_bill]]/tips[[#This Row],[Customers]]</f>
        <v>5.3266666666666671</v>
      </c>
      <c r="J225" s="2">
        <f>tips[[#This Row],[tip]]/tips[[#This Row],[Customers]]</f>
        <v>1</v>
      </c>
    </row>
    <row r="226" spans="1:10" x14ac:dyDescent="0.25">
      <c r="A226" s="2">
        <v>13.42</v>
      </c>
      <c r="B226" s="2">
        <v>1.58</v>
      </c>
      <c r="C226" s="1" t="s">
        <v>10</v>
      </c>
      <c r="D226" s="1" t="s">
        <v>12</v>
      </c>
      <c r="E226" s="1" t="s">
        <v>15</v>
      </c>
      <c r="F226" s="1" t="s">
        <v>14</v>
      </c>
      <c r="G226">
        <v>2</v>
      </c>
      <c r="H226" s="3">
        <f>tips[[#This Row],[tip]]/tips[[#This Row],[total_bill]]</f>
        <v>0.11773472429210134</v>
      </c>
      <c r="I226" s="2">
        <f>tips[[#This Row],[total_bill]]/tips[[#This Row],[Customers]]</f>
        <v>6.71</v>
      </c>
      <c r="J226" s="2">
        <f>tips[[#This Row],[tip]]/tips[[#This Row],[Customers]]</f>
        <v>0.79</v>
      </c>
    </row>
    <row r="227" spans="1:10" x14ac:dyDescent="0.25">
      <c r="A227" s="2">
        <v>16.27</v>
      </c>
      <c r="B227" s="2">
        <v>2.5</v>
      </c>
      <c r="C227" s="1" t="s">
        <v>6</v>
      </c>
      <c r="D227" s="1" t="s">
        <v>12</v>
      </c>
      <c r="E227" s="1" t="s">
        <v>15</v>
      </c>
      <c r="F227" s="1" t="s">
        <v>14</v>
      </c>
      <c r="G227">
        <v>2</v>
      </c>
      <c r="H227" s="3">
        <f>tips[[#This Row],[tip]]/tips[[#This Row],[total_bill]]</f>
        <v>0.15365703749231716</v>
      </c>
      <c r="I227" s="2">
        <f>tips[[#This Row],[total_bill]]/tips[[#This Row],[Customers]]</f>
        <v>8.1349999999999998</v>
      </c>
      <c r="J227" s="2">
        <f>tips[[#This Row],[tip]]/tips[[#This Row],[Customers]]</f>
        <v>1.25</v>
      </c>
    </row>
    <row r="228" spans="1:10" x14ac:dyDescent="0.25">
      <c r="A228" s="2">
        <v>10.09</v>
      </c>
      <c r="B228" s="2">
        <v>2</v>
      </c>
      <c r="C228" s="1" t="s">
        <v>6</v>
      </c>
      <c r="D228" s="1" t="s">
        <v>12</v>
      </c>
      <c r="E228" s="1" t="s">
        <v>15</v>
      </c>
      <c r="F228" s="1" t="s">
        <v>14</v>
      </c>
      <c r="G228">
        <v>2</v>
      </c>
      <c r="H228" s="3">
        <f>tips[[#This Row],[tip]]/tips[[#This Row],[total_bill]]</f>
        <v>0.19821605550049554</v>
      </c>
      <c r="I228" s="2">
        <f>tips[[#This Row],[total_bill]]/tips[[#This Row],[Customers]]</f>
        <v>5.0449999999999999</v>
      </c>
      <c r="J228" s="2">
        <f>tips[[#This Row],[tip]]/tips[[#This Row],[Customers]]</f>
        <v>1</v>
      </c>
    </row>
    <row r="229" spans="1:10" x14ac:dyDescent="0.25">
      <c r="A229" s="2">
        <v>20.45</v>
      </c>
      <c r="B229" s="2">
        <v>3</v>
      </c>
      <c r="C229" s="1" t="s">
        <v>10</v>
      </c>
      <c r="D229" s="1" t="s">
        <v>7</v>
      </c>
      <c r="E229" s="1" t="s">
        <v>11</v>
      </c>
      <c r="F229" s="1" t="s">
        <v>9</v>
      </c>
      <c r="G229">
        <v>4</v>
      </c>
      <c r="H229" s="3">
        <f>tips[[#This Row],[tip]]/tips[[#This Row],[total_bill]]</f>
        <v>0.14669926650366749</v>
      </c>
      <c r="I229" s="2">
        <f>tips[[#This Row],[total_bill]]/tips[[#This Row],[Customers]]</f>
        <v>5.1124999999999998</v>
      </c>
      <c r="J229" s="2">
        <f>tips[[#This Row],[tip]]/tips[[#This Row],[Customers]]</f>
        <v>0.75</v>
      </c>
    </row>
    <row r="230" spans="1:10" x14ac:dyDescent="0.25">
      <c r="A230" s="2">
        <v>13.28</v>
      </c>
      <c r="B230" s="2">
        <v>2.72</v>
      </c>
      <c r="C230" s="1" t="s">
        <v>10</v>
      </c>
      <c r="D230" s="1" t="s">
        <v>7</v>
      </c>
      <c r="E230" s="1" t="s">
        <v>11</v>
      </c>
      <c r="F230" s="1" t="s">
        <v>9</v>
      </c>
      <c r="G230">
        <v>2</v>
      </c>
      <c r="H230" s="3">
        <f>tips[[#This Row],[tip]]/tips[[#This Row],[total_bill]]</f>
        <v>0.20481927710843376</v>
      </c>
      <c r="I230" s="2">
        <f>tips[[#This Row],[total_bill]]/tips[[#This Row],[Customers]]</f>
        <v>6.64</v>
      </c>
      <c r="J230" s="2">
        <f>tips[[#This Row],[tip]]/tips[[#This Row],[Customers]]</f>
        <v>1.36</v>
      </c>
    </row>
    <row r="231" spans="1:10" x14ac:dyDescent="0.25">
      <c r="A231" s="2">
        <v>22.12</v>
      </c>
      <c r="B231" s="2">
        <v>2.88</v>
      </c>
      <c r="C231" s="1" t="s">
        <v>6</v>
      </c>
      <c r="D231" s="1" t="s">
        <v>12</v>
      </c>
      <c r="E231" s="1" t="s">
        <v>11</v>
      </c>
      <c r="F231" s="1" t="s">
        <v>9</v>
      </c>
      <c r="G231">
        <v>2</v>
      </c>
      <c r="H231" s="3">
        <f>tips[[#This Row],[tip]]/tips[[#This Row],[total_bill]]</f>
        <v>0.13019891500904157</v>
      </c>
      <c r="I231" s="2">
        <f>tips[[#This Row],[total_bill]]/tips[[#This Row],[Customers]]</f>
        <v>11.06</v>
      </c>
      <c r="J231" s="2">
        <f>tips[[#This Row],[tip]]/tips[[#This Row],[Customers]]</f>
        <v>1.44</v>
      </c>
    </row>
    <row r="232" spans="1:10" x14ac:dyDescent="0.25">
      <c r="A232" s="2">
        <v>24.01</v>
      </c>
      <c r="B232" s="2">
        <v>2</v>
      </c>
      <c r="C232" s="1" t="s">
        <v>10</v>
      </c>
      <c r="D232" s="1" t="s">
        <v>12</v>
      </c>
      <c r="E232" s="1" t="s">
        <v>11</v>
      </c>
      <c r="F232" s="1" t="s">
        <v>9</v>
      </c>
      <c r="G232">
        <v>4</v>
      </c>
      <c r="H232" s="3">
        <f>tips[[#This Row],[tip]]/tips[[#This Row],[total_bill]]</f>
        <v>8.3298625572678045E-2</v>
      </c>
      <c r="I232" s="2">
        <f>tips[[#This Row],[total_bill]]/tips[[#This Row],[Customers]]</f>
        <v>6.0025000000000004</v>
      </c>
      <c r="J232" s="2">
        <f>tips[[#This Row],[tip]]/tips[[#This Row],[Customers]]</f>
        <v>0.5</v>
      </c>
    </row>
    <row r="233" spans="1:10" x14ac:dyDescent="0.25">
      <c r="A233" s="2">
        <v>15.69</v>
      </c>
      <c r="B233" s="2">
        <v>3</v>
      </c>
      <c r="C233" s="1" t="s">
        <v>10</v>
      </c>
      <c r="D233" s="1" t="s">
        <v>12</v>
      </c>
      <c r="E233" s="1" t="s">
        <v>11</v>
      </c>
      <c r="F233" s="1" t="s">
        <v>9</v>
      </c>
      <c r="G233">
        <v>3</v>
      </c>
      <c r="H233" s="3">
        <f>tips[[#This Row],[tip]]/tips[[#This Row],[total_bill]]</f>
        <v>0.19120458891013384</v>
      </c>
      <c r="I233" s="2">
        <f>tips[[#This Row],[total_bill]]/tips[[#This Row],[Customers]]</f>
        <v>5.2299999999999995</v>
      </c>
      <c r="J233" s="2">
        <f>tips[[#This Row],[tip]]/tips[[#This Row],[Customers]]</f>
        <v>1</v>
      </c>
    </row>
    <row r="234" spans="1:10" x14ac:dyDescent="0.25">
      <c r="A234" s="2">
        <v>11.61</v>
      </c>
      <c r="B234" s="2">
        <v>3.39</v>
      </c>
      <c r="C234" s="1" t="s">
        <v>10</v>
      </c>
      <c r="D234" s="1" t="s">
        <v>7</v>
      </c>
      <c r="E234" s="1" t="s">
        <v>11</v>
      </c>
      <c r="F234" s="1" t="s">
        <v>9</v>
      </c>
      <c r="G234">
        <v>2</v>
      </c>
      <c r="H234" s="3">
        <f>tips[[#This Row],[tip]]/tips[[#This Row],[total_bill]]</f>
        <v>0.29198966408268734</v>
      </c>
      <c r="I234" s="2">
        <f>tips[[#This Row],[total_bill]]/tips[[#This Row],[Customers]]</f>
        <v>5.8049999999999997</v>
      </c>
      <c r="J234" s="2">
        <f>tips[[#This Row],[tip]]/tips[[#This Row],[Customers]]</f>
        <v>1.6950000000000001</v>
      </c>
    </row>
    <row r="235" spans="1:10" x14ac:dyDescent="0.25">
      <c r="A235" s="2">
        <v>10.77</v>
      </c>
      <c r="B235" s="2">
        <v>1.47</v>
      </c>
      <c r="C235" s="1" t="s">
        <v>10</v>
      </c>
      <c r="D235" s="1" t="s">
        <v>7</v>
      </c>
      <c r="E235" s="1" t="s">
        <v>11</v>
      </c>
      <c r="F235" s="1" t="s">
        <v>9</v>
      </c>
      <c r="G235">
        <v>2</v>
      </c>
      <c r="H235" s="3">
        <f>tips[[#This Row],[tip]]/tips[[#This Row],[total_bill]]</f>
        <v>0.13649025069637882</v>
      </c>
      <c r="I235" s="2">
        <f>tips[[#This Row],[total_bill]]/tips[[#This Row],[Customers]]</f>
        <v>5.3849999999999998</v>
      </c>
      <c r="J235" s="2">
        <f>tips[[#This Row],[tip]]/tips[[#This Row],[Customers]]</f>
        <v>0.73499999999999999</v>
      </c>
    </row>
    <row r="236" spans="1:10" x14ac:dyDescent="0.25">
      <c r="A236" s="2">
        <v>15.53</v>
      </c>
      <c r="B236" s="2">
        <v>3</v>
      </c>
      <c r="C236" s="1" t="s">
        <v>10</v>
      </c>
      <c r="D236" s="1" t="s">
        <v>12</v>
      </c>
      <c r="E236" s="1" t="s">
        <v>11</v>
      </c>
      <c r="F236" s="1" t="s">
        <v>9</v>
      </c>
      <c r="G236">
        <v>2</v>
      </c>
      <c r="H236" s="3">
        <f>tips[[#This Row],[tip]]/tips[[#This Row],[total_bill]]</f>
        <v>0.19317450096587252</v>
      </c>
      <c r="I236" s="2">
        <f>tips[[#This Row],[total_bill]]/tips[[#This Row],[Customers]]</f>
        <v>7.7649999999999997</v>
      </c>
      <c r="J236" s="2">
        <f>tips[[#This Row],[tip]]/tips[[#This Row],[Customers]]</f>
        <v>1.5</v>
      </c>
    </row>
    <row r="237" spans="1:10" x14ac:dyDescent="0.25">
      <c r="A237" s="2">
        <v>10.07</v>
      </c>
      <c r="B237" s="2">
        <v>1.25</v>
      </c>
      <c r="C237" s="1" t="s">
        <v>10</v>
      </c>
      <c r="D237" s="1" t="s">
        <v>7</v>
      </c>
      <c r="E237" s="1" t="s">
        <v>11</v>
      </c>
      <c r="F237" s="1" t="s">
        <v>9</v>
      </c>
      <c r="G237">
        <v>2</v>
      </c>
      <c r="H237" s="3">
        <f>tips[[#This Row],[tip]]/tips[[#This Row],[total_bill]]</f>
        <v>0.12413108242303872</v>
      </c>
      <c r="I237" s="2">
        <f>tips[[#This Row],[total_bill]]/tips[[#This Row],[Customers]]</f>
        <v>5.0350000000000001</v>
      </c>
      <c r="J237" s="2">
        <f>tips[[#This Row],[tip]]/tips[[#This Row],[Customers]]</f>
        <v>0.625</v>
      </c>
    </row>
    <row r="238" spans="1:10" x14ac:dyDescent="0.25">
      <c r="A238" s="2">
        <v>12.6</v>
      </c>
      <c r="B238" s="2">
        <v>1</v>
      </c>
      <c r="C238" s="1" t="s">
        <v>10</v>
      </c>
      <c r="D238" s="1" t="s">
        <v>12</v>
      </c>
      <c r="E238" s="1" t="s">
        <v>11</v>
      </c>
      <c r="F238" s="1" t="s">
        <v>9</v>
      </c>
      <c r="G238">
        <v>2</v>
      </c>
      <c r="H238" s="3">
        <f>tips[[#This Row],[tip]]/tips[[#This Row],[total_bill]]</f>
        <v>7.9365079365079361E-2</v>
      </c>
      <c r="I238" s="2">
        <f>tips[[#This Row],[total_bill]]/tips[[#This Row],[Customers]]</f>
        <v>6.3</v>
      </c>
      <c r="J238" s="2">
        <f>tips[[#This Row],[tip]]/tips[[#This Row],[Customers]]</f>
        <v>0.5</v>
      </c>
    </row>
    <row r="239" spans="1:10" x14ac:dyDescent="0.25">
      <c r="A239" s="2">
        <v>32.83</v>
      </c>
      <c r="B239" s="2">
        <v>1.17</v>
      </c>
      <c r="C239" s="1" t="s">
        <v>10</v>
      </c>
      <c r="D239" s="1" t="s">
        <v>12</v>
      </c>
      <c r="E239" s="1" t="s">
        <v>11</v>
      </c>
      <c r="F239" s="1" t="s">
        <v>9</v>
      </c>
      <c r="G239">
        <v>2</v>
      </c>
      <c r="H239" s="3">
        <f>tips[[#This Row],[tip]]/tips[[#This Row],[total_bill]]</f>
        <v>3.5638135851355467E-2</v>
      </c>
      <c r="I239" s="2">
        <f>tips[[#This Row],[total_bill]]/tips[[#This Row],[Customers]]</f>
        <v>16.414999999999999</v>
      </c>
      <c r="J239" s="2">
        <f>tips[[#This Row],[tip]]/tips[[#This Row],[Customers]]</f>
        <v>0.58499999999999996</v>
      </c>
    </row>
    <row r="240" spans="1:10" x14ac:dyDescent="0.25">
      <c r="A240" s="2">
        <v>35.83</v>
      </c>
      <c r="B240" s="2">
        <v>4.67</v>
      </c>
      <c r="C240" s="1" t="s">
        <v>6</v>
      </c>
      <c r="D240" s="1" t="s">
        <v>7</v>
      </c>
      <c r="E240" s="1" t="s">
        <v>11</v>
      </c>
      <c r="F240" s="1" t="s">
        <v>9</v>
      </c>
      <c r="G240">
        <v>3</v>
      </c>
      <c r="H240" s="3">
        <f>tips[[#This Row],[tip]]/tips[[#This Row],[total_bill]]</f>
        <v>0.13033770583310075</v>
      </c>
      <c r="I240" s="2">
        <f>tips[[#This Row],[total_bill]]/tips[[#This Row],[Customers]]</f>
        <v>11.943333333333333</v>
      </c>
      <c r="J240" s="2">
        <f>tips[[#This Row],[tip]]/tips[[#This Row],[Customers]]</f>
        <v>1.5566666666666666</v>
      </c>
    </row>
    <row r="241" spans="1:10" x14ac:dyDescent="0.25">
      <c r="A241" s="2">
        <v>29.03</v>
      </c>
      <c r="B241" s="2">
        <v>5.92</v>
      </c>
      <c r="C241" s="1" t="s">
        <v>10</v>
      </c>
      <c r="D241" s="1" t="s">
        <v>7</v>
      </c>
      <c r="E241" s="1" t="s">
        <v>11</v>
      </c>
      <c r="F241" s="1" t="s">
        <v>9</v>
      </c>
      <c r="G241">
        <v>3</v>
      </c>
      <c r="H241" s="3">
        <f>tips[[#This Row],[tip]]/tips[[#This Row],[total_bill]]</f>
        <v>0.20392697209782981</v>
      </c>
      <c r="I241" s="2">
        <f>tips[[#This Row],[total_bill]]/tips[[#This Row],[Customers]]</f>
        <v>9.6766666666666676</v>
      </c>
      <c r="J241" s="2">
        <f>tips[[#This Row],[tip]]/tips[[#This Row],[Customers]]</f>
        <v>1.9733333333333334</v>
      </c>
    </row>
    <row r="242" spans="1:10" x14ac:dyDescent="0.25">
      <c r="A242" s="2">
        <v>27.18</v>
      </c>
      <c r="B242" s="2">
        <v>2</v>
      </c>
      <c r="C242" s="1" t="s">
        <v>6</v>
      </c>
      <c r="D242" s="1" t="s">
        <v>12</v>
      </c>
      <c r="E242" s="1" t="s">
        <v>11</v>
      </c>
      <c r="F242" s="1" t="s">
        <v>9</v>
      </c>
      <c r="G242">
        <v>2</v>
      </c>
      <c r="H242" s="3">
        <f>tips[[#This Row],[tip]]/tips[[#This Row],[total_bill]]</f>
        <v>7.358351729212656E-2</v>
      </c>
      <c r="I242" s="2">
        <f>tips[[#This Row],[total_bill]]/tips[[#This Row],[Customers]]</f>
        <v>13.59</v>
      </c>
      <c r="J242" s="2">
        <f>tips[[#This Row],[tip]]/tips[[#This Row],[Customers]]</f>
        <v>1</v>
      </c>
    </row>
    <row r="243" spans="1:10" x14ac:dyDescent="0.25">
      <c r="A243" s="2">
        <v>22.67</v>
      </c>
      <c r="B243" s="2">
        <v>2</v>
      </c>
      <c r="C243" s="1" t="s">
        <v>10</v>
      </c>
      <c r="D243" s="1" t="s">
        <v>12</v>
      </c>
      <c r="E243" s="1" t="s">
        <v>11</v>
      </c>
      <c r="F243" s="1" t="s">
        <v>9</v>
      </c>
      <c r="G243">
        <v>2</v>
      </c>
      <c r="H243" s="3">
        <f>tips[[#This Row],[tip]]/tips[[#This Row],[total_bill]]</f>
        <v>8.8222320247022493E-2</v>
      </c>
      <c r="I243" s="2">
        <f>tips[[#This Row],[total_bill]]/tips[[#This Row],[Customers]]</f>
        <v>11.335000000000001</v>
      </c>
      <c r="J243" s="2">
        <f>tips[[#This Row],[tip]]/tips[[#This Row],[Customers]]</f>
        <v>1</v>
      </c>
    </row>
    <row r="244" spans="1:10" x14ac:dyDescent="0.25">
      <c r="A244" s="2">
        <v>17.82</v>
      </c>
      <c r="B244" s="2">
        <v>1.75</v>
      </c>
      <c r="C244" s="1" t="s">
        <v>10</v>
      </c>
      <c r="D244" s="1" t="s">
        <v>7</v>
      </c>
      <c r="E244" s="1" t="s">
        <v>11</v>
      </c>
      <c r="F244" s="1" t="s">
        <v>9</v>
      </c>
      <c r="G244">
        <v>2</v>
      </c>
      <c r="H244" s="3">
        <f>tips[[#This Row],[tip]]/tips[[#This Row],[total_bill]]</f>
        <v>9.8204264870931535E-2</v>
      </c>
      <c r="I244" s="2">
        <f>tips[[#This Row],[total_bill]]/tips[[#This Row],[Customers]]</f>
        <v>8.91</v>
      </c>
      <c r="J244" s="2">
        <f>tips[[#This Row],[tip]]/tips[[#This Row],[Customers]]</f>
        <v>0.875</v>
      </c>
    </row>
    <row r="245" spans="1:10" x14ac:dyDescent="0.25">
      <c r="A245" s="2">
        <v>18.78</v>
      </c>
      <c r="B245" s="2">
        <v>3</v>
      </c>
      <c r="C245" s="1" t="s">
        <v>6</v>
      </c>
      <c r="D245" s="1" t="s">
        <v>7</v>
      </c>
      <c r="E245" s="1" t="s">
        <v>13</v>
      </c>
      <c r="F245" s="1" t="s">
        <v>9</v>
      </c>
      <c r="G245">
        <v>2</v>
      </c>
      <c r="H245" s="3">
        <f>tips[[#This Row],[tip]]/tips[[#This Row],[total_bill]]</f>
        <v>0.15974440894568689</v>
      </c>
      <c r="I245" s="2">
        <f>tips[[#This Row],[total_bill]]/tips[[#This Row],[Customers]]</f>
        <v>9.39</v>
      </c>
      <c r="J245" s="2">
        <f>tips[[#This Row],[tip]]/tips[[#This Row],[Customers]]</f>
        <v>1.5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C00CF8-7E6B-429D-AF77-D07D4B21D3A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Sheet3</vt:lpstr>
      <vt:lpstr>tips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 taz</dc:creator>
  <cp:lastModifiedBy>mor taz</cp:lastModifiedBy>
  <dcterms:created xsi:type="dcterms:W3CDTF">2025-12-07T17:07:05Z</dcterms:created>
  <dcterms:modified xsi:type="dcterms:W3CDTF">2025-12-07T19:13:12Z</dcterms:modified>
</cp:coreProperties>
</file>